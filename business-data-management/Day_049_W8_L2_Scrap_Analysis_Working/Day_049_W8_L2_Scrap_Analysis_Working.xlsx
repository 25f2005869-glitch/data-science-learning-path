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p_Analysis_Data" sheetId="1" state="visible" r:id="rId1"/>
    <sheet xmlns:r="http://schemas.openxmlformats.org/officeDocument/2006/relationships" name="Product_Scrap_Summary" sheetId="2" state="visible" r:id="rId2"/>
    <sheet xmlns:r="http://schemas.openxmlformats.org/officeDocument/2006/relationships" name="Monthly_Scrap" sheetId="3" state="visible" r:id="rId3"/>
    <sheet xmlns:r="http://schemas.openxmlformats.org/officeDocument/2006/relationships" name="Region_Scrap" sheetId="4" state="visible" r:id="rId4"/>
    <sheet xmlns:r="http://schemas.openxmlformats.org/officeDocument/2006/relationships" name="Product_Region_Scrap" sheetId="5" state="visible" r:id="rId5"/>
    <sheet xmlns:r="http://schemas.openxmlformats.org/officeDocument/2006/relationships" name="Scrap_Questions" sheetId="6" state="visible" r:id="rId6"/>
    <sheet xmlns:r="http://schemas.openxmlformats.org/officeDocument/2006/relationships" name="Business_Insights" sheetId="7" state="visible" r:id="rId7"/>
    <sheet xmlns:r="http://schemas.openxmlformats.org/officeDocument/2006/relationships" name="Data_Dictionary" sheetId="8" state="visible" r:id="rId8"/>
    <sheet xmlns:r="http://schemas.openxmlformats.org/officeDocument/2006/relationships" name="Scrap_Working" sheetId="9" state="visible" r:id="rId9"/>
    <sheet xmlns:r="http://schemas.openxmlformats.org/officeDocument/2006/relationships" name="Scrap_Analysis_Dashboard" sheetId="10" state="visible" r:id="rId10"/>
    <sheet xmlns:r="http://schemas.openxmlformats.org/officeDocument/2006/relationships" name="Instructions" sheetId="11" state="visible" r:id="rId11"/>
  </sheets>
  <definedNames>
    <definedName name="_xlnm._FilterDatabase" localSheetId="0" hidden="1">'Scrap_Analysis_Data'!$A$1:$I$55</definedName>
    <definedName name="_xlnm._FilterDatabase" localSheetId="1" hidden="1">'Product_Scrap_Summary'!$A$1:$F$4</definedName>
    <definedName name="_xlnm._FilterDatabase" localSheetId="2" hidden="1">'Monthly_Scrap'!$A$1:$F$7</definedName>
    <definedName name="_xlnm._FilterDatabase" localSheetId="3" hidden="1">'Region_Scrap'!$A$1:$F$4</definedName>
    <definedName name="_xlnm._FilterDatabase" localSheetId="4" hidden="1">'Product_Region_Scrap'!$A$1:$G$10</definedName>
    <definedName name="_xlnm._FilterDatabase" localSheetId="5" hidden="1">'Scrap_Questions'!$A$1:$C$11</definedName>
    <definedName name="_xlnm._FilterDatabase" localSheetId="6" hidden="1">'Business_Insights'!$A$1:$C$8</definedName>
    <definedName name="_xlnm._FilterDatabase" localSheetId="7" hidden="1">'Data_Dictionary'!$A$1:$C$10</definedName>
    <definedName name="_xlnm._FilterDatabase" localSheetId="8" hidden="1">'Scrap_Working'!$A$1:$C$11</definedName>
    <definedName name="_xlnm._FilterDatabase" localSheetId="10" hidden="1">'Instructions'!$A$1:$B$11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8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Production vs Scrap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'Product_Scrap_Summary'!B1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'Product_Scrap_Summary'!$A$2:$A$4</f>
            </numRef>
          </cat>
          <val>
            <numRef>
              <f>'Product_Scrap_Summary'!$B$2:$B$4</f>
            </numRef>
          </val>
        </ser>
        <ser>
          <idx val="1"/>
          <order val="1"/>
          <tx>
            <strRef>
              <f>'Product_Scrap_Summary'!C1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'Product_Scrap_Summary'!$A$2:$A$4</f>
            </numRef>
          </cat>
          <val>
            <numRef>
              <f>'Product_Scrap_Summary'!$C$2:$C$4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Scrap Rate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'Monthly_Scrap'!F1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'Monthly_Scrap'!$A$2:$A$7</f>
            </numRef>
          </cat>
          <val>
            <numRef>
              <f>'Monthly_Scrap'!$F$2:$F$7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Scrap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Scrap Units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'Product_Scrap_Summary'!C1</f>
            </strRef>
          </tx>
          <spPr>
            <a:solidFill xmlns:a="http://schemas.openxmlformats.org/drawingml/2006/main">
              <a:srgbClr val="8064A2"/>
            </a:solidFill>
            <a:ln xmlns:a="http://schemas.openxmlformats.org/drawingml/2006/main">
              <a:solidFill>
                <a:srgbClr val="8064A2"/>
              </a:solidFill>
              <a:prstDash val="solid"/>
            </a:ln>
          </spPr>
          <cat>
            <numRef>
              <f>'Product_Scrap_Summary'!$A$2:$A$4</f>
            </numRef>
          </cat>
          <val>
            <numRef>
              <f>'Product_Scrap_Summary'!$C$2:$C$4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Scrap 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Scrap Rate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'Region_Scrap'!F1</f>
            </strRef>
          </tx>
          <spPr>
            <a:solidFill xmlns:a="http://schemas.openxmlformats.org/drawingml/2006/main">
              <a:srgbClr val="5B9BD5"/>
            </a:solidFill>
            <a:ln xmlns:a="http://schemas.openxmlformats.org/drawingml/2006/main">
              <a:solidFill>
                <a:srgbClr val="5B9BD5"/>
              </a:solidFill>
              <a:prstDash val="solid"/>
            </a:ln>
          </spPr>
          <cat>
            <numRef>
              <f>'Region_Scrap'!$A$2:$A$4</f>
            </numRef>
          </cat>
          <val>
            <numRef>
              <f>'Region_Scrap'!$F$2:$F$4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Scrap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6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21</row>
      <rowOff>0</rowOff>
    </from>
    <ext cx="39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21</row>
      <rowOff>0</rowOff>
    </from>
    <ext cx="396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8" customWidth="1" min="5" max="5"/>
    <col width="13" customWidth="1" min="6" max="6"/>
    <col width="12" customWidth="1" min="7" max="7"/>
    <col width="22" customWidth="1" min="8" max="8"/>
    <col width="12" customWidth="1" min="9" max="9"/>
  </cols>
  <sheetData>
    <row r="1">
      <c r="A1" s="1" t="inlineStr">
        <is>
          <t>Record_ID</t>
        </is>
      </c>
      <c r="B1" s="1" t="inlineStr">
        <is>
          <t>Month</t>
        </is>
      </c>
      <c r="C1" s="1" t="inlineStr">
        <is>
          <t>Product</t>
        </is>
      </c>
      <c r="D1" s="1" t="inlineStr">
        <is>
          <t>Region</t>
        </is>
      </c>
      <c r="E1" s="1" t="inlineStr">
        <is>
          <t>Production_Units</t>
        </is>
      </c>
      <c r="F1" s="1" t="inlineStr">
        <is>
          <t>Scrap_Units</t>
        </is>
      </c>
      <c r="G1" s="1" t="inlineStr">
        <is>
          <t>Good_Units</t>
        </is>
      </c>
      <c r="H1" s="1" t="inlineStr">
        <is>
          <t>Scrap_Rate</t>
        </is>
      </c>
      <c r="I1" s="1" t="inlineStr">
        <is>
          <t>Scrap_Cost</t>
        </is>
      </c>
    </row>
    <row r="2">
      <c r="A2" t="inlineStr">
        <is>
          <t>SC001</t>
        </is>
      </c>
      <c r="B2" t="inlineStr">
        <is>
          <t>2023-01</t>
        </is>
      </c>
      <c r="C2" t="inlineStr">
        <is>
          <t>Gears</t>
        </is>
      </c>
      <c r="D2" t="inlineStr">
        <is>
          <t>North</t>
        </is>
      </c>
      <c r="E2" s="2" t="n">
        <v>1058</v>
      </c>
      <c r="F2" s="2" t="n">
        <v>25</v>
      </c>
      <c r="G2" s="2" t="n">
        <v>1033</v>
      </c>
      <c r="H2" s="3" t="n">
        <v>0.02362948960302457</v>
      </c>
      <c r="I2" s="4" t="n">
        <v>3625</v>
      </c>
    </row>
    <row r="3">
      <c r="A3" t="inlineStr">
        <is>
          <t>SC002</t>
        </is>
      </c>
      <c r="B3" t="inlineStr">
        <is>
          <t>2023-01</t>
        </is>
      </c>
      <c r="C3" t="inlineStr">
        <is>
          <t>Gears</t>
        </is>
      </c>
      <c r="D3" t="inlineStr">
        <is>
          <t>South</t>
        </is>
      </c>
      <c r="E3" s="2" t="n">
        <v>960</v>
      </c>
      <c r="F3" s="2" t="n">
        <v>24</v>
      </c>
      <c r="G3" s="2" t="n">
        <v>936</v>
      </c>
      <c r="H3" s="3" t="n">
        <v>0.025</v>
      </c>
      <c r="I3" s="4" t="n">
        <v>3480</v>
      </c>
    </row>
    <row r="4">
      <c r="A4" t="inlineStr">
        <is>
          <t>SC003</t>
        </is>
      </c>
      <c r="B4" t="inlineStr">
        <is>
          <t>2023-01</t>
        </is>
      </c>
      <c r="C4" t="inlineStr">
        <is>
          <t>Gears</t>
        </is>
      </c>
      <c r="D4" t="inlineStr">
        <is>
          <t>West</t>
        </is>
      </c>
      <c r="E4" s="2" t="n">
        <v>921</v>
      </c>
      <c r="F4" s="2" t="n">
        <v>21</v>
      </c>
      <c r="G4" s="2" t="n">
        <v>900</v>
      </c>
      <c r="H4" s="3" t="n">
        <v>0.02280130293159609</v>
      </c>
      <c r="I4" s="4" t="n">
        <v>3045</v>
      </c>
    </row>
    <row r="5">
      <c r="A5" t="inlineStr">
        <is>
          <t>SC004</t>
        </is>
      </c>
      <c r="B5" t="inlineStr">
        <is>
          <t>2023-01</t>
        </is>
      </c>
      <c r="C5" t="inlineStr">
        <is>
          <t>Shafts</t>
        </is>
      </c>
      <c r="D5" t="inlineStr">
        <is>
          <t>North</t>
        </is>
      </c>
      <c r="E5" s="2" t="n">
        <v>940</v>
      </c>
      <c r="F5" s="2" t="n">
        <v>20</v>
      </c>
      <c r="G5" s="2" t="n">
        <v>920</v>
      </c>
      <c r="H5" s="3" t="n">
        <v>0.02127659574468085</v>
      </c>
      <c r="I5" s="4" t="n">
        <v>2500</v>
      </c>
    </row>
    <row r="6">
      <c r="A6" t="inlineStr">
        <is>
          <t>SC005</t>
        </is>
      </c>
      <c r="B6" t="inlineStr">
        <is>
          <t>2023-01</t>
        </is>
      </c>
      <c r="C6" t="inlineStr">
        <is>
          <t>Shafts</t>
        </is>
      </c>
      <c r="D6" t="inlineStr">
        <is>
          <t>South</t>
        </is>
      </c>
      <c r="E6" s="2" t="n">
        <v>853</v>
      </c>
      <c r="F6" s="2" t="n">
        <v>19</v>
      </c>
      <c r="G6" s="2" t="n">
        <v>834</v>
      </c>
      <c r="H6" s="3" t="n">
        <v>0.02227432590855803</v>
      </c>
      <c r="I6" s="4" t="n">
        <v>2375</v>
      </c>
    </row>
    <row r="7">
      <c r="A7" t="inlineStr">
        <is>
          <t>SC006</t>
        </is>
      </c>
      <c r="B7" t="inlineStr">
        <is>
          <t>2023-01</t>
        </is>
      </c>
      <c r="C7" t="inlineStr">
        <is>
          <t>Shafts</t>
        </is>
      </c>
      <c r="D7" t="inlineStr">
        <is>
          <t>West</t>
        </is>
      </c>
      <c r="E7" s="2" t="n">
        <v>818</v>
      </c>
      <c r="F7" s="2" t="n">
        <v>17</v>
      </c>
      <c r="G7" s="2" t="n">
        <v>801</v>
      </c>
      <c r="H7" s="3" t="n">
        <v>0.02078239608801956</v>
      </c>
      <c r="I7" s="4" t="n">
        <v>2125</v>
      </c>
    </row>
    <row r="8">
      <c r="A8" t="inlineStr">
        <is>
          <t>SC007</t>
        </is>
      </c>
      <c r="B8" t="inlineStr">
        <is>
          <t>2023-01</t>
        </is>
      </c>
      <c r="C8" t="inlineStr">
        <is>
          <t>Bearings</t>
        </is>
      </c>
      <c r="D8" t="inlineStr">
        <is>
          <t>North</t>
        </is>
      </c>
      <c r="E8" s="2" t="n">
        <v>896</v>
      </c>
      <c r="F8" s="2" t="n">
        <v>26</v>
      </c>
      <c r="G8" s="2" t="n">
        <v>870</v>
      </c>
      <c r="H8" s="3" t="n">
        <v>0.02901785714285714</v>
      </c>
      <c r="I8" s="4" t="n">
        <v>2860</v>
      </c>
    </row>
    <row r="9">
      <c r="A9" t="inlineStr">
        <is>
          <t>SC008</t>
        </is>
      </c>
      <c r="B9" t="inlineStr">
        <is>
          <t>2023-01</t>
        </is>
      </c>
      <c r="C9" t="inlineStr">
        <is>
          <t>Bearings</t>
        </is>
      </c>
      <c r="D9" t="inlineStr">
        <is>
          <t>South</t>
        </is>
      </c>
      <c r="E9" s="2" t="n">
        <v>813</v>
      </c>
      <c r="F9" s="2" t="n">
        <v>25</v>
      </c>
      <c r="G9" s="2" t="n">
        <v>788</v>
      </c>
      <c r="H9" s="3" t="n">
        <v>0.03075030750307503</v>
      </c>
      <c r="I9" s="4" t="n">
        <v>2750</v>
      </c>
    </row>
    <row r="10">
      <c r="A10" t="inlineStr">
        <is>
          <t>SC009</t>
        </is>
      </c>
      <c r="B10" t="inlineStr">
        <is>
          <t>2023-01</t>
        </is>
      </c>
      <c r="C10" t="inlineStr">
        <is>
          <t>Bearings</t>
        </is>
      </c>
      <c r="D10" t="inlineStr">
        <is>
          <t>West</t>
        </is>
      </c>
      <c r="E10" s="2" t="n">
        <v>780</v>
      </c>
      <c r="F10" s="2" t="n">
        <v>22</v>
      </c>
      <c r="G10" s="2" t="n">
        <v>758</v>
      </c>
      <c r="H10" s="3" t="n">
        <v>0.02820512820512821</v>
      </c>
      <c r="I10" s="4" t="n">
        <v>2420</v>
      </c>
    </row>
    <row r="11">
      <c r="A11" t="inlineStr">
        <is>
          <t>SC010</t>
        </is>
      </c>
      <c r="B11" t="inlineStr">
        <is>
          <t>2023-02</t>
        </is>
      </c>
      <c r="C11" t="inlineStr">
        <is>
          <t>Gears</t>
        </is>
      </c>
      <c r="D11" t="inlineStr">
        <is>
          <t>North</t>
        </is>
      </c>
      <c r="E11" s="2" t="n">
        <v>1085</v>
      </c>
      <c r="F11" s="2" t="n">
        <v>30</v>
      </c>
      <c r="G11" s="2" t="n">
        <v>1055</v>
      </c>
      <c r="H11" s="3" t="n">
        <v>0.02764976958525346</v>
      </c>
      <c r="I11" s="4" t="n">
        <v>4350</v>
      </c>
    </row>
    <row r="12">
      <c r="A12" t="inlineStr">
        <is>
          <t>SC011</t>
        </is>
      </c>
      <c r="B12" t="inlineStr">
        <is>
          <t>2023-02</t>
        </is>
      </c>
      <c r="C12" t="inlineStr">
        <is>
          <t>Gears</t>
        </is>
      </c>
      <c r="D12" t="inlineStr">
        <is>
          <t>South</t>
        </is>
      </c>
      <c r="E12" s="2" t="n">
        <v>984</v>
      </c>
      <c r="F12" s="2" t="n">
        <v>29</v>
      </c>
      <c r="G12" s="2" t="n">
        <v>955</v>
      </c>
      <c r="H12" s="3" t="n">
        <v>0.02947154471544716</v>
      </c>
      <c r="I12" s="4" t="n">
        <v>4205</v>
      </c>
    </row>
    <row r="13">
      <c r="A13" t="inlineStr">
        <is>
          <t>SC012</t>
        </is>
      </c>
      <c r="B13" t="inlineStr">
        <is>
          <t>2023-02</t>
        </is>
      </c>
      <c r="C13" t="inlineStr">
        <is>
          <t>Gears</t>
        </is>
      </c>
      <c r="D13" t="inlineStr">
        <is>
          <t>West</t>
        </is>
      </c>
      <c r="E13" s="2" t="n">
        <v>944</v>
      </c>
      <c r="F13" s="2" t="n">
        <v>26</v>
      </c>
      <c r="G13" s="2" t="n">
        <v>918</v>
      </c>
      <c r="H13" s="3" t="n">
        <v>0.02754237288135593</v>
      </c>
      <c r="I13" s="4" t="n">
        <v>3770</v>
      </c>
    </row>
    <row r="14">
      <c r="A14" t="inlineStr">
        <is>
          <t>SC013</t>
        </is>
      </c>
      <c r="B14" t="inlineStr">
        <is>
          <t>2023-02</t>
        </is>
      </c>
      <c r="C14" t="inlineStr">
        <is>
          <t>Shafts</t>
        </is>
      </c>
      <c r="D14" t="inlineStr">
        <is>
          <t>North</t>
        </is>
      </c>
      <c r="E14" s="2" t="n">
        <v>963</v>
      </c>
      <c r="F14" s="2" t="n">
        <v>24</v>
      </c>
      <c r="G14" s="2" t="n">
        <v>939</v>
      </c>
      <c r="H14" s="3" t="n">
        <v>0.0249221183800623</v>
      </c>
      <c r="I14" s="4" t="n">
        <v>3000</v>
      </c>
    </row>
    <row r="15">
      <c r="A15" t="inlineStr">
        <is>
          <t>SC014</t>
        </is>
      </c>
      <c r="B15" t="inlineStr">
        <is>
          <t>2023-02</t>
        </is>
      </c>
      <c r="C15" t="inlineStr">
        <is>
          <t>Shafts</t>
        </is>
      </c>
      <c r="D15" t="inlineStr">
        <is>
          <t>South</t>
        </is>
      </c>
      <c r="E15" s="2" t="n">
        <v>874</v>
      </c>
      <c r="F15" s="2" t="n">
        <v>23</v>
      </c>
      <c r="G15" s="2" t="n">
        <v>851</v>
      </c>
      <c r="H15" s="3" t="n">
        <v>0.02631578947368421</v>
      </c>
      <c r="I15" s="4" t="n">
        <v>2875</v>
      </c>
    </row>
    <row r="16">
      <c r="A16" t="inlineStr">
        <is>
          <t>SC015</t>
        </is>
      </c>
      <c r="B16" t="inlineStr">
        <is>
          <t>2023-02</t>
        </is>
      </c>
      <c r="C16" t="inlineStr">
        <is>
          <t>Shafts</t>
        </is>
      </c>
      <c r="D16" t="inlineStr">
        <is>
          <t>West</t>
        </is>
      </c>
      <c r="E16" s="2" t="n">
        <v>838</v>
      </c>
      <c r="F16" s="2" t="n">
        <v>20</v>
      </c>
      <c r="G16" s="2" t="n">
        <v>818</v>
      </c>
      <c r="H16" s="3" t="n">
        <v>0.02386634844868735</v>
      </c>
      <c r="I16" s="4" t="n">
        <v>2500</v>
      </c>
    </row>
    <row r="17">
      <c r="A17" t="inlineStr">
        <is>
          <t>SC016</t>
        </is>
      </c>
      <c r="B17" t="inlineStr">
        <is>
          <t>2023-02</t>
        </is>
      </c>
      <c r="C17" t="inlineStr">
        <is>
          <t>Bearings</t>
        </is>
      </c>
      <c r="D17" t="inlineStr">
        <is>
          <t>North</t>
        </is>
      </c>
      <c r="E17" s="2" t="n">
        <v>919</v>
      </c>
      <c r="F17" s="2" t="n">
        <v>29</v>
      </c>
      <c r="G17" s="2" t="n">
        <v>890</v>
      </c>
      <c r="H17" s="3" t="n">
        <v>0.03155603917301415</v>
      </c>
      <c r="I17" s="4" t="n">
        <v>3190</v>
      </c>
    </row>
    <row r="18">
      <c r="A18" t="inlineStr">
        <is>
          <t>SC017</t>
        </is>
      </c>
      <c r="B18" t="inlineStr">
        <is>
          <t>2023-02</t>
        </is>
      </c>
      <c r="C18" t="inlineStr">
        <is>
          <t>Bearings</t>
        </is>
      </c>
      <c r="D18" t="inlineStr">
        <is>
          <t>South</t>
        </is>
      </c>
      <c r="E18" s="2" t="n">
        <v>834</v>
      </c>
      <c r="F18" s="2" t="n">
        <v>28</v>
      </c>
      <c r="G18" s="2" t="n">
        <v>806</v>
      </c>
      <c r="H18" s="3" t="n">
        <v>0.03357314148681055</v>
      </c>
      <c r="I18" s="4" t="n">
        <v>3080</v>
      </c>
    </row>
    <row r="19">
      <c r="A19" t="inlineStr">
        <is>
          <t>SC018</t>
        </is>
      </c>
      <c r="B19" t="inlineStr">
        <is>
          <t>2023-02</t>
        </is>
      </c>
      <c r="C19" t="inlineStr">
        <is>
          <t>Bearings</t>
        </is>
      </c>
      <c r="D19" t="inlineStr">
        <is>
          <t>West</t>
        </is>
      </c>
      <c r="E19" s="2" t="n">
        <v>800</v>
      </c>
      <c r="F19" s="2" t="n">
        <v>25</v>
      </c>
      <c r="G19" s="2" t="n">
        <v>775</v>
      </c>
      <c r="H19" s="3" t="n">
        <v>0.03125</v>
      </c>
      <c r="I19" s="4" t="n">
        <v>2750</v>
      </c>
    </row>
    <row r="20">
      <c r="A20" t="inlineStr">
        <is>
          <t>SC019</t>
        </is>
      </c>
      <c r="B20" t="inlineStr">
        <is>
          <t>2023-03</t>
        </is>
      </c>
      <c r="C20" t="inlineStr">
        <is>
          <t>Gears</t>
        </is>
      </c>
      <c r="D20" t="inlineStr">
        <is>
          <t>North</t>
        </is>
      </c>
      <c r="E20" s="2" t="n">
        <v>1111</v>
      </c>
      <c r="F20" s="2" t="n">
        <v>34</v>
      </c>
      <c r="G20" s="2" t="n">
        <v>1077</v>
      </c>
      <c r="H20" s="3" t="n">
        <v>0.0306030603060306</v>
      </c>
      <c r="I20" s="4" t="n">
        <v>4930</v>
      </c>
    </row>
    <row r="21">
      <c r="A21" t="inlineStr">
        <is>
          <t>SC020</t>
        </is>
      </c>
      <c r="B21" t="inlineStr">
        <is>
          <t>2023-03</t>
        </is>
      </c>
      <c r="C21" t="inlineStr">
        <is>
          <t>Gears</t>
        </is>
      </c>
      <c r="D21" t="inlineStr">
        <is>
          <t>South</t>
        </is>
      </c>
      <c r="E21" s="2" t="n">
        <v>1008</v>
      </c>
      <c r="F21" s="2" t="n">
        <v>33</v>
      </c>
      <c r="G21" s="2" t="n">
        <v>975</v>
      </c>
      <c r="H21" s="3" t="n">
        <v>0.03273809523809524</v>
      </c>
      <c r="I21" s="4" t="n">
        <v>4785</v>
      </c>
    </row>
    <row r="22">
      <c r="A22" t="inlineStr">
        <is>
          <t>SC021</t>
        </is>
      </c>
      <c r="B22" t="inlineStr">
        <is>
          <t>2023-03</t>
        </is>
      </c>
      <c r="C22" t="inlineStr">
        <is>
          <t>Gears</t>
        </is>
      </c>
      <c r="D22" t="inlineStr">
        <is>
          <t>West</t>
        </is>
      </c>
      <c r="E22" s="2" t="n">
        <v>967</v>
      </c>
      <c r="F22" s="2" t="n">
        <v>29</v>
      </c>
      <c r="G22" s="2" t="n">
        <v>938</v>
      </c>
      <c r="H22" s="3" t="n">
        <v>0.02998965873836608</v>
      </c>
      <c r="I22" s="4" t="n">
        <v>4205</v>
      </c>
    </row>
    <row r="23">
      <c r="A23" t="inlineStr">
        <is>
          <t>SC022</t>
        </is>
      </c>
      <c r="B23" t="inlineStr">
        <is>
          <t>2023-03</t>
        </is>
      </c>
      <c r="C23" t="inlineStr">
        <is>
          <t>Shafts</t>
        </is>
      </c>
      <c r="D23" t="inlineStr">
        <is>
          <t>North</t>
        </is>
      </c>
      <c r="E23" s="2" t="n">
        <v>987</v>
      </c>
      <c r="F23" s="2" t="n">
        <v>23</v>
      </c>
      <c r="G23" s="2" t="n">
        <v>964</v>
      </c>
      <c r="H23" s="3" t="n">
        <v>0.02330293819655522</v>
      </c>
      <c r="I23" s="4" t="n">
        <v>2875</v>
      </c>
    </row>
    <row r="24">
      <c r="A24" t="inlineStr">
        <is>
          <t>SC023</t>
        </is>
      </c>
      <c r="B24" t="inlineStr">
        <is>
          <t>2023-03</t>
        </is>
      </c>
      <c r="C24" t="inlineStr">
        <is>
          <t>Shafts</t>
        </is>
      </c>
      <c r="D24" t="inlineStr">
        <is>
          <t>South</t>
        </is>
      </c>
      <c r="E24" s="2" t="n">
        <v>895</v>
      </c>
      <c r="F24" s="2" t="n">
        <v>22</v>
      </c>
      <c r="G24" s="2" t="n">
        <v>873</v>
      </c>
      <c r="H24" s="3" t="n">
        <v>0.02458100558659218</v>
      </c>
      <c r="I24" s="4" t="n">
        <v>2750</v>
      </c>
    </row>
    <row r="25">
      <c r="A25" t="inlineStr">
        <is>
          <t>SC024</t>
        </is>
      </c>
      <c r="B25" t="inlineStr">
        <is>
          <t>2023-03</t>
        </is>
      </c>
      <c r="C25" t="inlineStr">
        <is>
          <t>Shafts</t>
        </is>
      </c>
      <c r="D25" t="inlineStr">
        <is>
          <t>West</t>
        </is>
      </c>
      <c r="E25" s="2" t="n">
        <v>859</v>
      </c>
      <c r="F25" s="2" t="n">
        <v>19</v>
      </c>
      <c r="G25" s="2" t="n">
        <v>840</v>
      </c>
      <c r="H25" s="3" t="n">
        <v>0.02211874272409779</v>
      </c>
      <c r="I25" s="4" t="n">
        <v>2375</v>
      </c>
    </row>
    <row r="26">
      <c r="A26" t="inlineStr">
        <is>
          <t>SC025</t>
        </is>
      </c>
      <c r="B26" t="inlineStr">
        <is>
          <t>2023-03</t>
        </is>
      </c>
      <c r="C26" t="inlineStr">
        <is>
          <t>Bearings</t>
        </is>
      </c>
      <c r="D26" t="inlineStr">
        <is>
          <t>North</t>
        </is>
      </c>
      <c r="E26" s="2" t="n">
        <v>941</v>
      </c>
      <c r="F26" s="2" t="n">
        <v>28</v>
      </c>
      <c r="G26" s="2" t="n">
        <v>913</v>
      </c>
      <c r="H26" s="3" t="n">
        <v>0.02975557917109458</v>
      </c>
      <c r="I26" s="4" t="n">
        <v>3080</v>
      </c>
    </row>
    <row r="27">
      <c r="A27" t="inlineStr">
        <is>
          <t>SC026</t>
        </is>
      </c>
      <c r="B27" t="inlineStr">
        <is>
          <t>2023-03</t>
        </is>
      </c>
      <c r="C27" t="inlineStr">
        <is>
          <t>Bearings</t>
        </is>
      </c>
      <c r="D27" t="inlineStr">
        <is>
          <t>South</t>
        </is>
      </c>
      <c r="E27" s="2" t="n">
        <v>854</v>
      </c>
      <c r="F27" s="2" t="n">
        <v>27</v>
      </c>
      <c r="G27" s="2" t="n">
        <v>827</v>
      </c>
      <c r="H27" s="3" t="n">
        <v>0.03161592505854801</v>
      </c>
      <c r="I27" s="4" t="n">
        <v>2970</v>
      </c>
    </row>
    <row r="28">
      <c r="A28" t="inlineStr">
        <is>
          <t>SC027</t>
        </is>
      </c>
      <c r="B28" t="inlineStr">
        <is>
          <t>2023-03</t>
        </is>
      </c>
      <c r="C28" t="inlineStr">
        <is>
          <t>Bearings</t>
        </is>
      </c>
      <c r="D28" t="inlineStr">
        <is>
          <t>West</t>
        </is>
      </c>
      <c r="E28" s="2" t="n">
        <v>819</v>
      </c>
      <c r="F28" s="2" t="n">
        <v>24</v>
      </c>
      <c r="G28" s="2" t="n">
        <v>795</v>
      </c>
      <c r="H28" s="3" t="n">
        <v>0.0293040293040293</v>
      </c>
      <c r="I28" s="4" t="n">
        <v>2640</v>
      </c>
    </row>
    <row r="29">
      <c r="A29" t="inlineStr">
        <is>
          <t>SC028</t>
        </is>
      </c>
      <c r="B29" t="inlineStr">
        <is>
          <t>2023-04</t>
        </is>
      </c>
      <c r="C29" t="inlineStr">
        <is>
          <t>Gears</t>
        </is>
      </c>
      <c r="D29" t="inlineStr">
        <is>
          <t>North</t>
        </is>
      </c>
      <c r="E29" s="2" t="n">
        <v>1138</v>
      </c>
      <c r="F29" s="2" t="n">
        <v>30</v>
      </c>
      <c r="G29" s="2" t="n">
        <v>1108</v>
      </c>
      <c r="H29" s="3" t="n">
        <v>0.02636203866432337</v>
      </c>
      <c r="I29" s="4" t="n">
        <v>4350</v>
      </c>
    </row>
    <row r="30">
      <c r="A30" t="inlineStr">
        <is>
          <t>SC029</t>
        </is>
      </c>
      <c r="B30" t="inlineStr">
        <is>
          <t>2023-04</t>
        </is>
      </c>
      <c r="C30" t="inlineStr">
        <is>
          <t>Gears</t>
        </is>
      </c>
      <c r="D30" t="inlineStr">
        <is>
          <t>South</t>
        </is>
      </c>
      <c r="E30" s="2" t="n">
        <v>1032</v>
      </c>
      <c r="F30" s="2" t="n">
        <v>28</v>
      </c>
      <c r="G30" s="2" t="n">
        <v>1004</v>
      </c>
      <c r="H30" s="3" t="n">
        <v>0.02713178294573643</v>
      </c>
      <c r="I30" s="4" t="n">
        <v>4060</v>
      </c>
    </row>
    <row r="31">
      <c r="A31" t="inlineStr">
        <is>
          <t>SC030</t>
        </is>
      </c>
      <c r="B31" t="inlineStr">
        <is>
          <t>2023-04</t>
        </is>
      </c>
      <c r="C31" t="inlineStr">
        <is>
          <t>Gears</t>
        </is>
      </c>
      <c r="D31" t="inlineStr">
        <is>
          <t>West</t>
        </is>
      </c>
      <c r="E31" s="2" t="n">
        <v>990</v>
      </c>
      <c r="F31" s="2" t="n">
        <v>25</v>
      </c>
      <c r="G31" s="2" t="n">
        <v>965</v>
      </c>
      <c r="H31" s="3" t="n">
        <v>0.02525252525252525</v>
      </c>
      <c r="I31" s="4" t="n">
        <v>3625</v>
      </c>
    </row>
    <row r="32">
      <c r="A32" t="inlineStr">
        <is>
          <t>SC031</t>
        </is>
      </c>
      <c r="B32" t="inlineStr">
        <is>
          <t>2023-04</t>
        </is>
      </c>
      <c r="C32" t="inlineStr">
        <is>
          <t>Shafts</t>
        </is>
      </c>
      <c r="D32" t="inlineStr">
        <is>
          <t>North</t>
        </is>
      </c>
      <c r="E32" s="2" t="n">
        <v>1010</v>
      </c>
      <c r="F32" s="2" t="n">
        <v>27</v>
      </c>
      <c r="G32" s="2" t="n">
        <v>983</v>
      </c>
      <c r="H32" s="3" t="n">
        <v>0.02673267326732673</v>
      </c>
      <c r="I32" s="4" t="n">
        <v>3375</v>
      </c>
    </row>
    <row r="33">
      <c r="A33" t="inlineStr">
        <is>
          <t>SC032</t>
        </is>
      </c>
      <c r="B33" t="inlineStr">
        <is>
          <t>2023-04</t>
        </is>
      </c>
      <c r="C33" t="inlineStr">
        <is>
          <t>Shafts</t>
        </is>
      </c>
      <c r="D33" t="inlineStr">
        <is>
          <t>South</t>
        </is>
      </c>
      <c r="E33" s="2" t="n">
        <v>917</v>
      </c>
      <c r="F33" s="2" t="n">
        <v>26</v>
      </c>
      <c r="G33" s="2" t="n">
        <v>891</v>
      </c>
      <c r="H33" s="3" t="n">
        <v>0.02835332606324973</v>
      </c>
      <c r="I33" s="4" t="n">
        <v>3250</v>
      </c>
    </row>
    <row r="34">
      <c r="A34" t="inlineStr">
        <is>
          <t>SC033</t>
        </is>
      </c>
      <c r="B34" t="inlineStr">
        <is>
          <t>2023-04</t>
        </is>
      </c>
      <c r="C34" t="inlineStr">
        <is>
          <t>Shafts</t>
        </is>
      </c>
      <c r="D34" t="inlineStr">
        <is>
          <t>West</t>
        </is>
      </c>
      <c r="E34" s="2" t="n">
        <v>879</v>
      </c>
      <c r="F34" s="2" t="n">
        <v>23</v>
      </c>
      <c r="G34" s="2" t="n">
        <v>856</v>
      </c>
      <c r="H34" s="3" t="n">
        <v>0.02616609783845279</v>
      </c>
      <c r="I34" s="4" t="n">
        <v>2875</v>
      </c>
    </row>
    <row r="35">
      <c r="A35" t="inlineStr">
        <is>
          <t>SC034</t>
        </is>
      </c>
      <c r="B35" t="inlineStr">
        <is>
          <t>2023-04</t>
        </is>
      </c>
      <c r="C35" t="inlineStr">
        <is>
          <t>Bearings</t>
        </is>
      </c>
      <c r="D35" t="inlineStr">
        <is>
          <t>North</t>
        </is>
      </c>
      <c r="E35" s="2" t="n">
        <v>964</v>
      </c>
      <c r="F35" s="2" t="n">
        <v>33</v>
      </c>
      <c r="G35" s="2" t="n">
        <v>931</v>
      </c>
      <c r="H35" s="3" t="n">
        <v>0.03423236514522822</v>
      </c>
      <c r="I35" s="4" t="n">
        <v>3630</v>
      </c>
    </row>
    <row r="36">
      <c r="A36" t="inlineStr">
        <is>
          <t>SC035</t>
        </is>
      </c>
      <c r="B36" t="inlineStr">
        <is>
          <t>2023-04</t>
        </is>
      </c>
      <c r="C36" t="inlineStr">
        <is>
          <t>Bearings</t>
        </is>
      </c>
      <c r="D36" t="inlineStr">
        <is>
          <t>South</t>
        </is>
      </c>
      <c r="E36" s="2" t="n">
        <v>874</v>
      </c>
      <c r="F36" s="2" t="n">
        <v>31</v>
      </c>
      <c r="G36" s="2" t="n">
        <v>843</v>
      </c>
      <c r="H36" s="3" t="n">
        <v>0.03546910755148741</v>
      </c>
      <c r="I36" s="4" t="n">
        <v>3410</v>
      </c>
    </row>
    <row r="37">
      <c r="A37" t="inlineStr">
        <is>
          <t>SC036</t>
        </is>
      </c>
      <c r="B37" t="inlineStr">
        <is>
          <t>2023-04</t>
        </is>
      </c>
      <c r="C37" t="inlineStr">
        <is>
          <t>Bearings</t>
        </is>
      </c>
      <c r="D37" t="inlineStr">
        <is>
          <t>West</t>
        </is>
      </c>
      <c r="E37" s="2" t="n">
        <v>839</v>
      </c>
      <c r="F37" s="2" t="n">
        <v>28</v>
      </c>
      <c r="G37" s="2" t="n">
        <v>811</v>
      </c>
      <c r="H37" s="3" t="n">
        <v>0.033373063170441</v>
      </c>
      <c r="I37" s="4" t="n">
        <v>3080</v>
      </c>
    </row>
    <row r="38">
      <c r="A38" t="inlineStr">
        <is>
          <t>SC037</t>
        </is>
      </c>
      <c r="B38" t="inlineStr">
        <is>
          <t>2023-05</t>
        </is>
      </c>
      <c r="C38" t="inlineStr">
        <is>
          <t>Gears</t>
        </is>
      </c>
      <c r="D38" t="inlineStr">
        <is>
          <t>North</t>
        </is>
      </c>
      <c r="E38" s="2" t="n">
        <v>1164</v>
      </c>
      <c r="F38" s="2" t="n">
        <v>35</v>
      </c>
      <c r="G38" s="2" t="n">
        <v>1129</v>
      </c>
      <c r="H38" s="3" t="n">
        <v>0.03006872852233677</v>
      </c>
      <c r="I38" s="4" t="n">
        <v>5075</v>
      </c>
    </row>
    <row r="39">
      <c r="A39" t="inlineStr">
        <is>
          <t>SC038</t>
        </is>
      </c>
      <c r="B39" t="inlineStr">
        <is>
          <t>2023-05</t>
        </is>
      </c>
      <c r="C39" t="inlineStr">
        <is>
          <t>Gears</t>
        </is>
      </c>
      <c r="D39" t="inlineStr">
        <is>
          <t>South</t>
        </is>
      </c>
      <c r="E39" s="2" t="n">
        <v>1056</v>
      </c>
      <c r="F39" s="2" t="n">
        <v>34</v>
      </c>
      <c r="G39" s="2" t="n">
        <v>1022</v>
      </c>
      <c r="H39" s="3" t="n">
        <v>0.0321969696969697</v>
      </c>
      <c r="I39" s="4" t="n">
        <v>4930</v>
      </c>
    </row>
    <row r="40">
      <c r="A40" t="inlineStr">
        <is>
          <t>SC039</t>
        </is>
      </c>
      <c r="B40" t="inlineStr">
        <is>
          <t>2023-05</t>
        </is>
      </c>
      <c r="C40" t="inlineStr">
        <is>
          <t>Gears</t>
        </is>
      </c>
      <c r="D40" t="inlineStr">
        <is>
          <t>West</t>
        </is>
      </c>
      <c r="E40" s="2" t="n">
        <v>1013</v>
      </c>
      <c r="F40" s="2" t="n">
        <v>29</v>
      </c>
      <c r="G40" s="2" t="n">
        <v>984</v>
      </c>
      <c r="H40" s="3" t="n">
        <v>0.02862783810463969</v>
      </c>
      <c r="I40" s="4" t="n">
        <v>4205</v>
      </c>
    </row>
    <row r="41">
      <c r="A41" t="inlineStr">
        <is>
          <t>SC040</t>
        </is>
      </c>
      <c r="B41" t="inlineStr">
        <is>
          <t>2023-05</t>
        </is>
      </c>
      <c r="C41" t="inlineStr">
        <is>
          <t>Shafts</t>
        </is>
      </c>
      <c r="D41" t="inlineStr">
        <is>
          <t>North</t>
        </is>
      </c>
      <c r="E41" s="2" t="n">
        <v>1034</v>
      </c>
      <c r="F41" s="2" t="n">
        <v>25</v>
      </c>
      <c r="G41" s="2" t="n">
        <v>1009</v>
      </c>
      <c r="H41" s="3" t="n">
        <v>0.0241779497098646</v>
      </c>
      <c r="I41" s="4" t="n">
        <v>3125</v>
      </c>
    </row>
    <row r="42">
      <c r="A42" t="inlineStr">
        <is>
          <t>SC041</t>
        </is>
      </c>
      <c r="B42" t="inlineStr">
        <is>
          <t>2023-05</t>
        </is>
      </c>
      <c r="C42" t="inlineStr">
        <is>
          <t>Shafts</t>
        </is>
      </c>
      <c r="D42" t="inlineStr">
        <is>
          <t>South</t>
        </is>
      </c>
      <c r="E42" s="2" t="n">
        <v>938</v>
      </c>
      <c r="F42" s="2" t="n">
        <v>24</v>
      </c>
      <c r="G42" s="2" t="n">
        <v>914</v>
      </c>
      <c r="H42" s="3" t="n">
        <v>0.0255863539445629</v>
      </c>
      <c r="I42" s="4" t="n">
        <v>3000</v>
      </c>
    </row>
    <row r="43">
      <c r="A43" t="inlineStr">
        <is>
          <t>SC042</t>
        </is>
      </c>
      <c r="B43" t="inlineStr">
        <is>
          <t>2023-05</t>
        </is>
      </c>
      <c r="C43" t="inlineStr">
        <is>
          <t>Shafts</t>
        </is>
      </c>
      <c r="D43" t="inlineStr">
        <is>
          <t>West</t>
        </is>
      </c>
      <c r="E43" s="2" t="n">
        <v>900</v>
      </c>
      <c r="F43" s="2" t="n">
        <v>21</v>
      </c>
      <c r="G43" s="2" t="n">
        <v>879</v>
      </c>
      <c r="H43" s="3" t="n">
        <v>0.02333333333333333</v>
      </c>
      <c r="I43" s="4" t="n">
        <v>2625</v>
      </c>
    </row>
    <row r="44">
      <c r="A44" t="inlineStr">
        <is>
          <t>SC043</t>
        </is>
      </c>
      <c r="B44" t="inlineStr">
        <is>
          <t>2023-05</t>
        </is>
      </c>
      <c r="C44" t="inlineStr">
        <is>
          <t>Bearings</t>
        </is>
      </c>
      <c r="D44" t="inlineStr">
        <is>
          <t>North</t>
        </is>
      </c>
      <c r="E44" s="2" t="n">
        <v>986</v>
      </c>
      <c r="F44" s="2" t="n">
        <v>31</v>
      </c>
      <c r="G44" s="2" t="n">
        <v>955</v>
      </c>
      <c r="H44" s="3" t="n">
        <v>0.03144016227180527</v>
      </c>
      <c r="I44" s="4" t="n">
        <v>3410</v>
      </c>
    </row>
    <row r="45">
      <c r="A45" t="inlineStr">
        <is>
          <t>SC044</t>
        </is>
      </c>
      <c r="B45" t="inlineStr">
        <is>
          <t>2023-05</t>
        </is>
      </c>
      <c r="C45" t="inlineStr">
        <is>
          <t>Bearings</t>
        </is>
      </c>
      <c r="D45" t="inlineStr">
        <is>
          <t>South</t>
        </is>
      </c>
      <c r="E45" s="2" t="n">
        <v>895</v>
      </c>
      <c r="F45" s="2" t="n">
        <v>29</v>
      </c>
      <c r="G45" s="2" t="n">
        <v>866</v>
      </c>
      <c r="H45" s="3" t="n">
        <v>0.03240223463687151</v>
      </c>
      <c r="I45" s="4" t="n">
        <v>3190</v>
      </c>
    </row>
    <row r="46">
      <c r="A46" t="inlineStr">
        <is>
          <t>SC045</t>
        </is>
      </c>
      <c r="B46" t="inlineStr">
        <is>
          <t>2023-05</t>
        </is>
      </c>
      <c r="C46" t="inlineStr">
        <is>
          <t>Bearings</t>
        </is>
      </c>
      <c r="D46" t="inlineStr">
        <is>
          <t>West</t>
        </is>
      </c>
      <c r="E46" s="2" t="n">
        <v>858</v>
      </c>
      <c r="F46" s="2" t="n">
        <v>26</v>
      </c>
      <c r="G46" s="2" t="n">
        <v>832</v>
      </c>
      <c r="H46" s="3" t="n">
        <v>0.0303030303030303</v>
      </c>
      <c r="I46" s="4" t="n">
        <v>2860</v>
      </c>
    </row>
    <row r="47">
      <c r="A47" t="inlineStr">
        <is>
          <t>SC046</t>
        </is>
      </c>
      <c r="B47" t="inlineStr">
        <is>
          <t>2023-06</t>
        </is>
      </c>
      <c r="C47" t="inlineStr">
        <is>
          <t>Gears</t>
        </is>
      </c>
      <c r="D47" t="inlineStr">
        <is>
          <t>North</t>
        </is>
      </c>
      <c r="E47" s="2" t="n">
        <v>1191</v>
      </c>
      <c r="F47" s="2" t="n">
        <v>32</v>
      </c>
      <c r="G47" s="2" t="n">
        <v>1159</v>
      </c>
      <c r="H47" s="3" t="n">
        <v>0.02686817800167926</v>
      </c>
      <c r="I47" s="4" t="n">
        <v>4640</v>
      </c>
    </row>
    <row r="48">
      <c r="A48" t="inlineStr">
        <is>
          <t>SC047</t>
        </is>
      </c>
      <c r="B48" t="inlineStr">
        <is>
          <t>2023-06</t>
        </is>
      </c>
      <c r="C48" t="inlineStr">
        <is>
          <t>Gears</t>
        </is>
      </c>
      <c r="D48" t="inlineStr">
        <is>
          <t>South</t>
        </is>
      </c>
      <c r="E48" s="2" t="n">
        <v>1080</v>
      </c>
      <c r="F48" s="2" t="n">
        <v>31</v>
      </c>
      <c r="G48" s="2" t="n">
        <v>1049</v>
      </c>
      <c r="H48" s="3" t="n">
        <v>0.0287037037037037</v>
      </c>
      <c r="I48" s="4" t="n">
        <v>4495</v>
      </c>
    </row>
    <row r="49">
      <c r="A49" t="inlineStr">
        <is>
          <t>SC048</t>
        </is>
      </c>
      <c r="B49" t="inlineStr">
        <is>
          <t>2023-06</t>
        </is>
      </c>
      <c r="C49" t="inlineStr">
        <is>
          <t>Gears</t>
        </is>
      </c>
      <c r="D49" t="inlineStr">
        <is>
          <t>West</t>
        </is>
      </c>
      <c r="E49" s="2" t="n">
        <v>1036</v>
      </c>
      <c r="F49" s="2" t="n">
        <v>27</v>
      </c>
      <c r="G49" s="2" t="n">
        <v>1009</v>
      </c>
      <c r="H49" s="3" t="n">
        <v>0.02606177606177606</v>
      </c>
      <c r="I49" s="4" t="n">
        <v>3915</v>
      </c>
    </row>
    <row r="50">
      <c r="A50" t="inlineStr">
        <is>
          <t>SC049</t>
        </is>
      </c>
      <c r="B50" t="inlineStr">
        <is>
          <t>2023-06</t>
        </is>
      </c>
      <c r="C50" t="inlineStr">
        <is>
          <t>Shafts</t>
        </is>
      </c>
      <c r="D50" t="inlineStr">
        <is>
          <t>North</t>
        </is>
      </c>
      <c r="E50" s="2" t="n">
        <v>1057</v>
      </c>
      <c r="F50" s="2" t="n">
        <v>27</v>
      </c>
      <c r="G50" s="2" t="n">
        <v>1030</v>
      </c>
      <c r="H50" s="3" t="n">
        <v>0.02554399243140965</v>
      </c>
      <c r="I50" s="4" t="n">
        <v>3375</v>
      </c>
    </row>
    <row r="51">
      <c r="A51" t="inlineStr">
        <is>
          <t>SC050</t>
        </is>
      </c>
      <c r="B51" t="inlineStr">
        <is>
          <t>2023-06</t>
        </is>
      </c>
      <c r="C51" t="inlineStr">
        <is>
          <t>Shafts</t>
        </is>
      </c>
      <c r="D51" t="inlineStr">
        <is>
          <t>South</t>
        </is>
      </c>
      <c r="E51" s="2" t="n">
        <v>959</v>
      </c>
      <c r="F51" s="2" t="n">
        <v>26</v>
      </c>
      <c r="G51" s="2" t="n">
        <v>933</v>
      </c>
      <c r="H51" s="3" t="n">
        <v>0.02711157455683003</v>
      </c>
      <c r="I51" s="4" t="n">
        <v>3250</v>
      </c>
    </row>
    <row r="52">
      <c r="A52" t="inlineStr">
        <is>
          <t>SC051</t>
        </is>
      </c>
      <c r="B52" t="inlineStr">
        <is>
          <t>2023-06</t>
        </is>
      </c>
      <c r="C52" t="inlineStr">
        <is>
          <t>Shafts</t>
        </is>
      </c>
      <c r="D52" t="inlineStr">
        <is>
          <t>West</t>
        </is>
      </c>
      <c r="E52" s="2" t="n">
        <v>920</v>
      </c>
      <c r="F52" s="2" t="n">
        <v>23</v>
      </c>
      <c r="G52" s="2" t="n">
        <v>897</v>
      </c>
      <c r="H52" s="3" t="n">
        <v>0.025</v>
      </c>
      <c r="I52" s="4" t="n">
        <v>2875</v>
      </c>
    </row>
    <row r="53">
      <c r="A53" t="inlineStr">
        <is>
          <t>SC052</t>
        </is>
      </c>
      <c r="B53" t="inlineStr">
        <is>
          <t>2023-06</t>
        </is>
      </c>
      <c r="C53" t="inlineStr">
        <is>
          <t>Bearings</t>
        </is>
      </c>
      <c r="D53" t="inlineStr">
        <is>
          <t>North</t>
        </is>
      </c>
      <c r="E53" s="2" t="n">
        <v>1008</v>
      </c>
      <c r="F53" s="2" t="n">
        <v>33</v>
      </c>
      <c r="G53" s="2" t="n">
        <v>975</v>
      </c>
      <c r="H53" s="3" t="n">
        <v>0.03273809523809524</v>
      </c>
      <c r="I53" s="4" t="n">
        <v>3630</v>
      </c>
    </row>
    <row r="54">
      <c r="A54" t="inlineStr">
        <is>
          <t>SC053</t>
        </is>
      </c>
      <c r="B54" t="inlineStr">
        <is>
          <t>2023-06</t>
        </is>
      </c>
      <c r="C54" t="inlineStr">
        <is>
          <t>Bearings</t>
        </is>
      </c>
      <c r="D54" t="inlineStr">
        <is>
          <t>South</t>
        </is>
      </c>
      <c r="E54" s="2" t="n">
        <v>915</v>
      </c>
      <c r="F54" s="2" t="n">
        <v>32</v>
      </c>
      <c r="G54" s="2" t="n">
        <v>883</v>
      </c>
      <c r="H54" s="3" t="n">
        <v>0.03497267759562842</v>
      </c>
      <c r="I54" s="4" t="n">
        <v>3520</v>
      </c>
    </row>
    <row r="55">
      <c r="A55" t="inlineStr">
        <is>
          <t>SC054</t>
        </is>
      </c>
      <c r="B55" t="inlineStr">
        <is>
          <t>2023-06</t>
        </is>
      </c>
      <c r="C55" t="inlineStr">
        <is>
          <t>Bearings</t>
        </is>
      </c>
      <c r="D55" t="inlineStr">
        <is>
          <t>West</t>
        </is>
      </c>
      <c r="E55" s="2" t="n">
        <v>878</v>
      </c>
      <c r="F55" s="2" t="n">
        <v>28</v>
      </c>
      <c r="G55" s="2" t="n">
        <v>850</v>
      </c>
      <c r="H55" s="3" t="n">
        <v>0.03189066059225513</v>
      </c>
      <c r="I55" s="4" t="n">
        <v>3080</v>
      </c>
    </row>
  </sheetData>
  <autoFilter ref="A1:I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Product</t>
        </is>
      </c>
      <c r="B1" s="1" t="inlineStr">
        <is>
          <t>Production_Units</t>
        </is>
      </c>
      <c r="C1" s="1" t="inlineStr">
        <is>
          <t>Scrap_Units</t>
        </is>
      </c>
      <c r="D1" s="1" t="inlineStr">
        <is>
          <t>Good_Units</t>
        </is>
      </c>
      <c r="E1" s="1" t="inlineStr">
        <is>
          <t>Scrap_Cost</t>
        </is>
      </c>
      <c r="F1" s="1" t="inlineStr">
        <is>
          <t>Scrap_Rate</t>
        </is>
      </c>
    </row>
    <row r="2">
      <c r="A2" t="inlineStr">
        <is>
          <t>Bearings</t>
        </is>
      </c>
      <c r="B2" s="2" t="n">
        <v>15873</v>
      </c>
      <c r="C2" s="2" t="n">
        <v>505</v>
      </c>
      <c r="D2" s="2" t="n">
        <v>15368</v>
      </c>
      <c r="E2" s="4" t="n">
        <v>55550</v>
      </c>
      <c r="F2" s="3" t="n">
        <v>0.03181503181503181</v>
      </c>
    </row>
    <row r="3">
      <c r="A3" t="inlineStr">
        <is>
          <t>Gears</t>
        </is>
      </c>
      <c r="B3" s="2" t="n">
        <v>18738</v>
      </c>
      <c r="C3" s="2" t="n">
        <v>522</v>
      </c>
      <c r="D3" s="2" t="n">
        <v>18216</v>
      </c>
      <c r="E3" s="4" t="n">
        <v>75690</v>
      </c>
      <c r="F3" s="3" t="n">
        <v>0.02785782901056676</v>
      </c>
    </row>
    <row r="4">
      <c r="A4" t="inlineStr">
        <is>
          <t>Shafts</t>
        </is>
      </c>
      <c r="B4" s="2" t="n">
        <v>16641</v>
      </c>
      <c r="C4" s="2" t="n">
        <v>409</v>
      </c>
      <c r="D4" s="2" t="n">
        <v>16232</v>
      </c>
      <c r="E4" s="4" t="n">
        <v>51125</v>
      </c>
      <c r="F4" s="3" t="n">
        <v>0.0245778498888288</v>
      </c>
    </row>
  </sheetData>
  <autoFilter ref="A1:F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Month</t>
        </is>
      </c>
      <c r="B1" s="1" t="inlineStr">
        <is>
          <t>Production_Units</t>
        </is>
      </c>
      <c r="C1" s="1" t="inlineStr">
        <is>
          <t>Scrap_Units</t>
        </is>
      </c>
      <c r="D1" s="1" t="inlineStr">
        <is>
          <t>Good_Units</t>
        </is>
      </c>
      <c r="E1" s="1" t="inlineStr">
        <is>
          <t>Scrap_Cost</t>
        </is>
      </c>
      <c r="F1" s="1" t="inlineStr">
        <is>
          <t>Scrap_Rate</t>
        </is>
      </c>
    </row>
    <row r="2">
      <c r="A2" t="inlineStr">
        <is>
          <t>2023-01</t>
        </is>
      </c>
      <c r="B2" s="2" t="n">
        <v>8039</v>
      </c>
      <c r="C2" s="2" t="n">
        <v>199</v>
      </c>
      <c r="D2" s="2" t="n">
        <v>7840</v>
      </c>
      <c r="E2" s="4" t="n">
        <v>25180</v>
      </c>
      <c r="F2" s="3" t="n">
        <v>0.02475432267694987</v>
      </c>
    </row>
    <row r="3">
      <c r="A3" t="inlineStr">
        <is>
          <t>2023-02</t>
        </is>
      </c>
      <c r="B3" s="2" t="n">
        <v>8241</v>
      </c>
      <c r="C3" s="2" t="n">
        <v>234</v>
      </c>
      <c r="D3" s="2" t="n">
        <v>8007</v>
      </c>
      <c r="E3" s="4" t="n">
        <v>29720</v>
      </c>
      <c r="F3" s="3" t="n">
        <v>0.028394612304332</v>
      </c>
    </row>
    <row r="4">
      <c r="A4" t="inlineStr">
        <is>
          <t>2023-03</t>
        </is>
      </c>
      <c r="B4" s="2" t="n">
        <v>8441</v>
      </c>
      <c r="C4" s="2" t="n">
        <v>239</v>
      </c>
      <c r="D4" s="2" t="n">
        <v>8202</v>
      </c>
      <c r="E4" s="4" t="n">
        <v>30610</v>
      </c>
      <c r="F4" s="3" t="n">
        <v>0.02831418078426727</v>
      </c>
    </row>
    <row r="5">
      <c r="A5" t="inlineStr">
        <is>
          <t>2023-04</t>
        </is>
      </c>
      <c r="B5" s="2" t="n">
        <v>8643</v>
      </c>
      <c r="C5" s="2" t="n">
        <v>251</v>
      </c>
      <c r="D5" s="2" t="n">
        <v>8392</v>
      </c>
      <c r="E5" s="4" t="n">
        <v>31655</v>
      </c>
      <c r="F5" s="3" t="n">
        <v>0.02904084230012727</v>
      </c>
    </row>
    <row r="6">
      <c r="A6" t="inlineStr">
        <is>
          <t>2023-05</t>
        </is>
      </c>
      <c r="B6" s="2" t="n">
        <v>8844</v>
      </c>
      <c r="C6" s="2" t="n">
        <v>254</v>
      </c>
      <c r="D6" s="2" t="n">
        <v>8590</v>
      </c>
      <c r="E6" s="4" t="n">
        <v>32420</v>
      </c>
      <c r="F6" s="3" t="n">
        <v>0.02872003618272275</v>
      </c>
    </row>
    <row r="7">
      <c r="A7" t="inlineStr">
        <is>
          <t>2023-06</t>
        </is>
      </c>
      <c r="B7" s="2" t="n">
        <v>9044</v>
      </c>
      <c r="C7" s="2" t="n">
        <v>259</v>
      </c>
      <c r="D7" s="2" t="n">
        <v>8785</v>
      </c>
      <c r="E7" s="4" t="n">
        <v>32780</v>
      </c>
      <c r="F7" s="3" t="n">
        <v>0.02863777089783282</v>
      </c>
    </row>
  </sheetData>
  <autoFilter ref="A1:F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Region</t>
        </is>
      </c>
      <c r="B1" s="1" t="inlineStr">
        <is>
          <t>Production_Units</t>
        </is>
      </c>
      <c r="C1" s="1" t="inlineStr">
        <is>
          <t>Scrap_Units</t>
        </is>
      </c>
      <c r="D1" s="1" t="inlineStr">
        <is>
          <t>Good_Units</t>
        </is>
      </c>
      <c r="E1" s="1" t="inlineStr">
        <is>
          <t>Scrap_Cost</t>
        </is>
      </c>
      <c r="F1" s="1" t="inlineStr">
        <is>
          <t>Scrap_Rate</t>
        </is>
      </c>
    </row>
    <row r="2">
      <c r="A2" t="inlineStr">
        <is>
          <t>North</t>
        </is>
      </c>
      <c r="B2" s="2" t="n">
        <v>18452</v>
      </c>
      <c r="C2" s="2" t="n">
        <v>512</v>
      </c>
      <c r="D2" s="2" t="n">
        <v>17940</v>
      </c>
      <c r="E2" s="4" t="n">
        <v>65020</v>
      </c>
      <c r="F2" s="3" t="n">
        <v>0.02774766962930848</v>
      </c>
    </row>
    <row r="3">
      <c r="A3" t="inlineStr">
        <is>
          <t>South</t>
        </is>
      </c>
      <c r="B3" s="2" t="n">
        <v>16741</v>
      </c>
      <c r="C3" s="2" t="n">
        <v>491</v>
      </c>
      <c r="D3" s="2" t="n">
        <v>16250</v>
      </c>
      <c r="E3" s="4" t="n">
        <v>62375</v>
      </c>
      <c r="F3" s="3" t="n">
        <v>0.0293291918045517</v>
      </c>
    </row>
    <row r="4">
      <c r="A4" t="inlineStr">
        <is>
          <t>West</t>
        </is>
      </c>
      <c r="B4" s="2" t="n">
        <v>16059</v>
      </c>
      <c r="C4" s="2" t="n">
        <v>433</v>
      </c>
      <c r="D4" s="2" t="n">
        <v>15626</v>
      </c>
      <c r="E4" s="4" t="n">
        <v>54970</v>
      </c>
      <c r="F4" s="3" t="n">
        <v>0.02696307366585715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3" customWidth="1" min="4" max="4"/>
    <col width="12" customWidth="1" min="5" max="5"/>
    <col width="12" customWidth="1" min="6" max="6"/>
    <col width="22" customWidth="1" min="7" max="7"/>
  </cols>
  <sheetData>
    <row r="1">
      <c r="A1" s="1" t="inlineStr">
        <is>
          <t>Product</t>
        </is>
      </c>
      <c r="B1" s="1" t="inlineStr">
        <is>
          <t>Region</t>
        </is>
      </c>
      <c r="C1" s="1" t="inlineStr">
        <is>
          <t>Production_Units</t>
        </is>
      </c>
      <c r="D1" s="1" t="inlineStr">
        <is>
          <t>Scrap_Units</t>
        </is>
      </c>
      <c r="E1" s="1" t="inlineStr">
        <is>
          <t>Good_Units</t>
        </is>
      </c>
      <c r="F1" s="1" t="inlineStr">
        <is>
          <t>Scrap_Cost</t>
        </is>
      </c>
      <c r="G1" s="1" t="inlineStr">
        <is>
          <t>Scrap_Rate</t>
        </is>
      </c>
    </row>
    <row r="2">
      <c r="A2" t="inlineStr">
        <is>
          <t>Bearings</t>
        </is>
      </c>
      <c r="B2" t="inlineStr">
        <is>
          <t>North</t>
        </is>
      </c>
      <c r="C2" s="2" t="n">
        <v>5714</v>
      </c>
      <c r="D2" s="2" t="n">
        <v>180</v>
      </c>
      <c r="E2" s="2" t="n">
        <v>5534</v>
      </c>
      <c r="F2" s="4" t="n">
        <v>19800</v>
      </c>
      <c r="G2" s="3" t="n">
        <v>0.03150157507875394</v>
      </c>
    </row>
    <row r="3">
      <c r="A3" t="inlineStr">
        <is>
          <t>Bearings</t>
        </is>
      </c>
      <c r="B3" t="inlineStr">
        <is>
          <t>South</t>
        </is>
      </c>
      <c r="C3" s="2" t="n">
        <v>5185</v>
      </c>
      <c r="D3" s="2" t="n">
        <v>172</v>
      </c>
      <c r="E3" s="2" t="n">
        <v>5013</v>
      </c>
      <c r="F3" s="4" t="n">
        <v>18920</v>
      </c>
      <c r="G3" s="3" t="n">
        <v>0.03317261330761813</v>
      </c>
    </row>
    <row r="4">
      <c r="A4" t="inlineStr">
        <is>
          <t>Bearings</t>
        </is>
      </c>
      <c r="B4" t="inlineStr">
        <is>
          <t>West</t>
        </is>
      </c>
      <c r="C4" s="2" t="n">
        <v>4974</v>
      </c>
      <c r="D4" s="2" t="n">
        <v>153</v>
      </c>
      <c r="E4" s="2" t="n">
        <v>4821</v>
      </c>
      <c r="F4" s="4" t="n">
        <v>16830</v>
      </c>
      <c r="G4" s="3" t="n">
        <v>0.0307599517490953</v>
      </c>
    </row>
    <row r="5">
      <c r="A5" t="inlineStr">
        <is>
          <t>Gears</t>
        </is>
      </c>
      <c r="B5" t="inlineStr">
        <is>
          <t>North</t>
        </is>
      </c>
      <c r="C5" s="2" t="n">
        <v>6747</v>
      </c>
      <c r="D5" s="2" t="n">
        <v>186</v>
      </c>
      <c r="E5" s="2" t="n">
        <v>6561</v>
      </c>
      <c r="F5" s="4" t="n">
        <v>26970</v>
      </c>
      <c r="G5" s="3" t="n">
        <v>0.02756780791462872</v>
      </c>
    </row>
    <row r="6">
      <c r="A6" t="inlineStr">
        <is>
          <t>Gears</t>
        </is>
      </c>
      <c r="B6" t="inlineStr">
        <is>
          <t>South</t>
        </is>
      </c>
      <c r="C6" s="2" t="n">
        <v>6120</v>
      </c>
      <c r="D6" s="2" t="n">
        <v>179</v>
      </c>
      <c r="E6" s="2" t="n">
        <v>5941</v>
      </c>
      <c r="F6" s="4" t="n">
        <v>25955</v>
      </c>
      <c r="G6" s="3" t="n">
        <v>0.0292483660130719</v>
      </c>
    </row>
    <row r="7">
      <c r="A7" t="inlineStr">
        <is>
          <t>Gears</t>
        </is>
      </c>
      <c r="B7" t="inlineStr">
        <is>
          <t>West</t>
        </is>
      </c>
      <c r="C7" s="2" t="n">
        <v>5871</v>
      </c>
      <c r="D7" s="2" t="n">
        <v>157</v>
      </c>
      <c r="E7" s="2" t="n">
        <v>5714</v>
      </c>
      <c r="F7" s="4" t="n">
        <v>22765</v>
      </c>
      <c r="G7" s="3" t="n">
        <v>0.02674161130982797</v>
      </c>
    </row>
    <row r="8">
      <c r="A8" t="inlineStr">
        <is>
          <t>Shafts</t>
        </is>
      </c>
      <c r="B8" t="inlineStr">
        <is>
          <t>North</t>
        </is>
      </c>
      <c r="C8" s="2" t="n">
        <v>5991</v>
      </c>
      <c r="D8" s="2" t="n">
        <v>146</v>
      </c>
      <c r="E8" s="2" t="n">
        <v>5845</v>
      </c>
      <c r="F8" s="4" t="n">
        <v>18250</v>
      </c>
      <c r="G8" s="3" t="n">
        <v>0.02436988816558171</v>
      </c>
    </row>
    <row r="9">
      <c r="A9" t="inlineStr">
        <is>
          <t>Shafts</t>
        </is>
      </c>
      <c r="B9" t="inlineStr">
        <is>
          <t>South</t>
        </is>
      </c>
      <c r="C9" s="2" t="n">
        <v>5436</v>
      </c>
      <c r="D9" s="2" t="n">
        <v>140</v>
      </c>
      <c r="E9" s="2" t="n">
        <v>5296</v>
      </c>
      <c r="F9" s="4" t="n">
        <v>17500</v>
      </c>
      <c r="G9" s="3" t="n">
        <v>0.0257542310522443</v>
      </c>
    </row>
    <row r="10">
      <c r="A10" t="inlineStr">
        <is>
          <t>Shafts</t>
        </is>
      </c>
      <c r="B10" t="inlineStr">
        <is>
          <t>West</t>
        </is>
      </c>
      <c r="C10" s="2" t="n">
        <v>5214</v>
      </c>
      <c r="D10" s="2" t="n">
        <v>123</v>
      </c>
      <c r="E10" s="2" t="n">
        <v>5091</v>
      </c>
      <c r="F10" s="4" t="n">
        <v>15375</v>
      </c>
      <c r="G10" s="3" t="n">
        <v>0.023590333716916</v>
      </c>
    </row>
  </sheetData>
  <autoFilter ref="A1:G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38" customWidth="1" min="3" max="3"/>
  </cols>
  <sheetData>
    <row r="1">
      <c r="A1" s="1" t="inlineStr">
        <is>
          <t>Question_ID</t>
        </is>
      </c>
      <c r="B1" s="1" t="inlineStr">
        <is>
          <t>Question</t>
        </is>
      </c>
      <c r="C1" s="1" t="inlineStr">
        <is>
          <t>Method</t>
        </is>
      </c>
    </row>
    <row r="2">
      <c r="A2" t="inlineStr">
        <is>
          <t>Q1</t>
        </is>
      </c>
      <c r="B2" t="inlineStr">
        <is>
          <t>What is total production?</t>
        </is>
      </c>
      <c r="C2" t="inlineStr">
        <is>
          <t>Use Scrap_Analysis_Data.</t>
        </is>
      </c>
    </row>
    <row r="3">
      <c r="A3" t="inlineStr">
        <is>
          <t>Q2</t>
        </is>
      </c>
      <c r="B3" t="inlineStr">
        <is>
          <t>What is total scrap?</t>
        </is>
      </c>
      <c r="C3" t="inlineStr">
        <is>
          <t>Use Scrap_Analysis_Data.</t>
        </is>
      </c>
    </row>
    <row r="4">
      <c r="A4" t="inlineStr">
        <is>
          <t>Q3</t>
        </is>
      </c>
      <c r="B4" t="inlineStr">
        <is>
          <t>What is overall scrap rate?</t>
        </is>
      </c>
      <c r="C4" t="inlineStr">
        <is>
          <t>Scrap Units / Production Units.</t>
        </is>
      </c>
    </row>
    <row r="5">
      <c r="A5" t="inlineStr">
        <is>
          <t>Q4</t>
        </is>
      </c>
      <c r="B5" t="inlineStr">
        <is>
          <t>Which product has the highest scrap rate?</t>
        </is>
      </c>
      <c r="C5" t="inlineStr">
        <is>
          <t>Use Product_Scrap_Summary.</t>
        </is>
      </c>
    </row>
    <row r="6">
      <c r="A6" t="inlineStr">
        <is>
          <t>Q5</t>
        </is>
      </c>
      <c r="B6" t="inlineStr">
        <is>
          <t>Which month has the highest scrap rate?</t>
        </is>
      </c>
      <c r="C6" t="inlineStr">
        <is>
          <t>Use Monthly_Scrap.</t>
        </is>
      </c>
    </row>
    <row r="7">
      <c r="A7" t="inlineStr">
        <is>
          <t>Q6</t>
        </is>
      </c>
      <c r="B7" t="inlineStr">
        <is>
          <t>Which region has the highest scrap rate?</t>
        </is>
      </c>
      <c r="C7" t="inlineStr">
        <is>
          <t>Use Region_Scrap.</t>
        </is>
      </c>
    </row>
    <row r="8">
      <c r="A8" t="inlineStr">
        <is>
          <t>Q7</t>
        </is>
      </c>
      <c r="B8" t="inlineStr">
        <is>
          <t>Which product-region combination has the highest scrap rate?</t>
        </is>
      </c>
      <c r="C8" t="inlineStr">
        <is>
          <t>Use Product_Region_Scrap.</t>
        </is>
      </c>
    </row>
    <row r="9">
      <c r="A9" t="inlineStr">
        <is>
          <t>Q8</t>
        </is>
      </c>
      <c r="B9" t="inlineStr">
        <is>
          <t>What is total scrap cost?</t>
        </is>
      </c>
      <c r="C9" t="inlineStr">
        <is>
          <t>Use summary sheets.</t>
        </is>
      </c>
    </row>
    <row r="10">
      <c r="A10" t="inlineStr">
        <is>
          <t>Q9</t>
        </is>
      </c>
      <c r="B10" t="inlineStr">
        <is>
          <t>Why should scrap be monitored?</t>
        </is>
      </c>
      <c r="C10" t="inlineStr">
        <is>
          <t>Explain using production and cost data.</t>
        </is>
      </c>
    </row>
    <row r="11">
      <c r="A11" t="inlineStr">
        <is>
          <t>Q10</t>
        </is>
      </c>
      <c r="B11" t="inlineStr">
        <is>
          <t>Write three evidence-based scrap insights.</t>
        </is>
      </c>
      <c r="C11" t="inlineStr">
        <is>
          <t>Use the dashboard and summaries.</t>
        </is>
      </c>
    </row>
  </sheetData>
  <autoFilter ref="A1:C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8" customWidth="1" min="2" max="2"/>
    <col width="23" customWidth="1" min="3" max="3"/>
  </cols>
  <sheetData>
    <row r="1">
      <c r="A1" s="1" t="inlineStr">
        <is>
          <t>Insight_Area</t>
        </is>
      </c>
      <c r="B1" s="1" t="inlineStr">
        <is>
          <t>Observation</t>
        </is>
      </c>
      <c r="C1" s="1" t="inlineStr">
        <is>
          <t>Evidence_Sheet</t>
        </is>
      </c>
    </row>
    <row r="2">
      <c r="A2" t="inlineStr">
        <is>
          <t>Overall production</t>
        </is>
      </c>
      <c r="B2" t="inlineStr">
        <is>
          <t>51,252 total production units.</t>
        </is>
      </c>
      <c r="C2" t="inlineStr">
        <is>
          <t>Scrap_Analysis_Data</t>
        </is>
      </c>
    </row>
    <row r="3">
      <c r="A3" t="inlineStr">
        <is>
          <t>Overall scrap</t>
        </is>
      </c>
      <c r="B3" t="inlineStr">
        <is>
          <t>1,436 scrap units.</t>
        </is>
      </c>
      <c r="C3" t="inlineStr">
        <is>
          <t>Scrap_Analysis_Data</t>
        </is>
      </c>
    </row>
    <row r="4">
      <c r="A4" t="inlineStr">
        <is>
          <t>Overall scrap rate</t>
        </is>
      </c>
      <c r="B4" t="inlineStr">
        <is>
          <t>2.80%.</t>
        </is>
      </c>
      <c r="C4" t="inlineStr">
        <is>
          <t>Scrap_Analysis_Data</t>
        </is>
      </c>
    </row>
    <row r="5">
      <c r="A5" t="inlineStr">
        <is>
          <t>Total scrap cost</t>
        </is>
      </c>
      <c r="B5" t="inlineStr">
        <is>
          <t>₹182,365.</t>
        </is>
      </c>
      <c r="C5" t="inlineStr">
        <is>
          <t>Scrap_Analysis_Data</t>
        </is>
      </c>
    </row>
    <row r="6">
      <c r="A6" t="inlineStr">
        <is>
          <t>Highest product rate</t>
        </is>
      </c>
      <c r="B6" t="inlineStr">
        <is>
          <t>Bearings has the highest product scrap rate.</t>
        </is>
      </c>
      <c r="C6" t="inlineStr">
        <is>
          <t>Product_Scrap_Summary</t>
        </is>
      </c>
    </row>
    <row r="7">
      <c r="A7" t="inlineStr">
        <is>
          <t>Highest monthly rate</t>
        </is>
      </c>
      <c r="B7" t="inlineStr">
        <is>
          <t>2023-04 has the highest monthly scrap rate.</t>
        </is>
      </c>
      <c r="C7" t="inlineStr">
        <is>
          <t>Monthly_Scrap</t>
        </is>
      </c>
    </row>
    <row r="8">
      <c r="A8" t="inlineStr">
        <is>
          <t>Highest regional rate</t>
        </is>
      </c>
      <c r="B8" t="inlineStr">
        <is>
          <t>South has the highest regional scrap rate.</t>
        </is>
      </c>
      <c r="C8" t="inlineStr">
        <is>
          <t>Region_Scrap</t>
        </is>
      </c>
    </row>
  </sheetData>
  <autoFilter ref="A1:C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12" customWidth="1" min="3" max="3"/>
  </cols>
  <sheetData>
    <row r="1">
      <c r="A1" s="1" t="inlineStr">
        <is>
          <t>Field</t>
        </is>
      </c>
      <c r="B1" s="1" t="inlineStr">
        <is>
          <t>Meaning</t>
        </is>
      </c>
      <c r="C1" s="1" t="inlineStr">
        <is>
          <t>Format</t>
        </is>
      </c>
    </row>
    <row r="2">
      <c r="A2" t="inlineStr">
        <is>
          <t>Record_ID</t>
        </is>
      </c>
      <c r="B2" t="inlineStr">
        <is>
          <t>Unique scrap-analysis record</t>
        </is>
      </c>
      <c r="C2" t="inlineStr">
        <is>
          <t>Text</t>
        </is>
      </c>
    </row>
    <row r="3">
      <c r="A3" t="inlineStr">
        <is>
          <t>Month</t>
        </is>
      </c>
      <c r="B3" t="inlineStr">
        <is>
          <t>Production month</t>
        </is>
      </c>
      <c r="C3" t="inlineStr">
        <is>
          <t>YYYY-MM</t>
        </is>
      </c>
    </row>
    <row r="4">
      <c r="A4" t="inlineStr">
        <is>
          <t>Product</t>
        </is>
      </c>
      <c r="B4" t="inlineStr">
        <is>
          <t>Manufactured product</t>
        </is>
      </c>
      <c r="C4" t="inlineStr">
        <is>
          <t>Text</t>
        </is>
      </c>
    </row>
    <row r="5">
      <c r="A5" t="inlineStr">
        <is>
          <t>Region</t>
        </is>
      </c>
      <c r="B5" t="inlineStr">
        <is>
          <t>Operating region</t>
        </is>
      </c>
      <c r="C5" t="inlineStr">
        <is>
          <t>Text</t>
        </is>
      </c>
    </row>
    <row r="6">
      <c r="A6" t="inlineStr">
        <is>
          <t>Production_Units</t>
        </is>
      </c>
      <c r="B6" t="inlineStr">
        <is>
          <t>Total units produced</t>
        </is>
      </c>
      <c r="C6" t="inlineStr">
        <is>
          <t>Units</t>
        </is>
      </c>
    </row>
    <row r="7">
      <c r="A7" t="inlineStr">
        <is>
          <t>Scrap_Units</t>
        </is>
      </c>
      <c r="B7" t="inlineStr">
        <is>
          <t>Units rejected or scrapped</t>
        </is>
      </c>
      <c r="C7" t="inlineStr">
        <is>
          <t>Units</t>
        </is>
      </c>
    </row>
    <row r="8">
      <c r="A8" t="inlineStr">
        <is>
          <t>Good_Units</t>
        </is>
      </c>
      <c r="B8" t="inlineStr">
        <is>
          <t>Production units excluding scrap</t>
        </is>
      </c>
      <c r="C8" t="inlineStr">
        <is>
          <t>Units</t>
        </is>
      </c>
    </row>
    <row r="9">
      <c r="A9" t="inlineStr">
        <is>
          <t>Scrap_Rate</t>
        </is>
      </c>
      <c r="B9" t="inlineStr">
        <is>
          <t>Scrap units divided by production units</t>
        </is>
      </c>
      <c r="C9" t="inlineStr">
        <is>
          <t>Percentage</t>
        </is>
      </c>
    </row>
    <row r="10">
      <c r="A10" t="inlineStr">
        <is>
          <t>Scrap_Cost</t>
        </is>
      </c>
      <c r="B10" t="inlineStr">
        <is>
          <t>Illustrative cost associated with scrap units</t>
        </is>
      </c>
      <c r="C10" t="inlineStr">
        <is>
          <t>Currency</t>
        </is>
      </c>
    </row>
  </sheetData>
  <autoFilter ref="A1:C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2" customWidth="1" min="2" max="2"/>
    <col width="34" customWidth="1" min="3" max="3"/>
  </cols>
  <sheetData>
    <row r="1">
      <c r="A1" s="1" t="inlineStr">
        <is>
          <t>Metric</t>
        </is>
      </c>
      <c r="B1" s="1" t="inlineStr">
        <is>
          <t>Formula / Method</t>
        </is>
      </c>
      <c r="C1" s="1" t="inlineStr">
        <is>
          <t>Purpose</t>
        </is>
      </c>
    </row>
    <row r="2">
      <c r="A2" t="inlineStr">
        <is>
          <t>Metric</t>
        </is>
      </c>
      <c r="B2" t="inlineStr">
        <is>
          <t>Formula / Method</t>
        </is>
      </c>
      <c r="C2" t="inlineStr">
        <is>
          <t>Purpose</t>
        </is>
      </c>
    </row>
    <row r="3">
      <c r="A3" t="inlineStr">
        <is>
          <t>Total Production</t>
        </is>
      </c>
      <c r="B3" t="inlineStr">
        <is>
          <t>SUM Production_Units</t>
        </is>
      </c>
      <c r="C3" t="inlineStr">
        <is>
          <t>Measure production volume</t>
        </is>
      </c>
    </row>
    <row r="4">
      <c r="A4" t="inlineStr">
        <is>
          <t>Total Scrap</t>
        </is>
      </c>
      <c r="B4" t="inlineStr">
        <is>
          <t>SUM Scrap_Units</t>
        </is>
      </c>
      <c r="C4" t="inlineStr">
        <is>
          <t>Measure scrap volume</t>
        </is>
      </c>
    </row>
    <row r="5">
      <c r="A5" t="inlineStr">
        <is>
          <t>Good Units</t>
        </is>
      </c>
      <c r="B5" t="inlineStr">
        <is>
          <t>Production Units - Scrap Units</t>
        </is>
      </c>
      <c r="C5" t="inlineStr">
        <is>
          <t>Measure usable output</t>
        </is>
      </c>
    </row>
    <row r="6">
      <c r="A6" t="inlineStr">
        <is>
          <t>Scrap Rate</t>
        </is>
      </c>
      <c r="B6" t="inlineStr">
        <is>
          <t>Scrap Units / Production Units</t>
        </is>
      </c>
      <c r="C6" t="inlineStr">
        <is>
          <t>Normalize scrap</t>
        </is>
      </c>
    </row>
    <row r="7">
      <c r="A7" t="inlineStr">
        <is>
          <t>Scrap Cost</t>
        </is>
      </c>
      <c r="B7" t="inlineStr">
        <is>
          <t>SUM Scrap_Cost</t>
        </is>
      </c>
      <c r="C7" t="inlineStr">
        <is>
          <t>Quantify illustrative scrap cost</t>
        </is>
      </c>
    </row>
    <row r="8">
      <c r="A8" t="inlineStr">
        <is>
          <t>Product Analysis</t>
        </is>
      </c>
      <c r="B8" t="inlineStr">
        <is>
          <t>GROUP BY Product</t>
        </is>
      </c>
      <c r="C8" t="inlineStr">
        <is>
          <t>Compare products</t>
        </is>
      </c>
    </row>
    <row r="9">
      <c r="A9" t="inlineStr">
        <is>
          <t>Monthly Analysis</t>
        </is>
      </c>
      <c r="B9" t="inlineStr">
        <is>
          <t>GROUP BY Month</t>
        </is>
      </c>
      <c r="C9" t="inlineStr">
        <is>
          <t>Track scrap over time</t>
        </is>
      </c>
    </row>
    <row r="10">
      <c r="A10" t="inlineStr">
        <is>
          <t>Regional Analysis</t>
        </is>
      </c>
      <c r="B10" t="inlineStr">
        <is>
          <t>GROUP BY Region</t>
        </is>
      </c>
      <c r="C10" t="inlineStr">
        <is>
          <t>Compare regions</t>
        </is>
      </c>
    </row>
    <row r="11">
      <c r="A11" t="inlineStr">
        <is>
          <t>Product-Region Analysis</t>
        </is>
      </c>
      <c r="B11" t="inlineStr">
        <is>
          <t>GROUP BY Product, Region</t>
        </is>
      </c>
      <c r="C11" t="inlineStr">
        <is>
          <t>Locate detailed variation</t>
        </is>
      </c>
    </row>
  </sheetData>
  <autoFilter ref="A1:C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5" t="inlineStr">
        <is>
          <t>Scrap Analysis — Working</t>
        </is>
      </c>
    </row>
    <row r="3">
      <c r="A3" s="6" t="inlineStr">
        <is>
          <t>Dataset Note</t>
        </is>
      </c>
      <c r="B3" s="7" t="inlineStr">
        <is>
          <t>Illustrative ACE Gears-style practice data; not official IITM data.</t>
        </is>
      </c>
    </row>
    <row r="4">
      <c r="A4" s="6" t="inlineStr">
        <is>
          <t>Focus</t>
        </is>
      </c>
      <c r="B4" s="7" t="inlineStr">
        <is>
          <t>Production, scrap units, scrap rate and illustrative scrap cost.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Step</t>
        </is>
      </c>
      <c r="B1" s="1" t="inlineStr">
        <is>
          <t>Instruction</t>
        </is>
      </c>
    </row>
    <row r="2">
      <c r="A2" t="inlineStr">
        <is>
          <t>Step 1</t>
        </is>
      </c>
      <c r="B2" t="inlineStr">
        <is>
          <t>Open Scrap_Analysis_Data and understand Production_Units and Scrap_Units.</t>
        </is>
      </c>
    </row>
    <row r="3">
      <c r="A3" t="inlineStr">
        <is>
          <t>Step 2</t>
        </is>
      </c>
      <c r="B3" t="inlineStr">
        <is>
          <t>Calculate total production and total scrap.</t>
        </is>
      </c>
    </row>
    <row r="4">
      <c r="A4" t="inlineStr">
        <is>
          <t>Step 3</t>
        </is>
      </c>
      <c r="B4" t="inlineStr">
        <is>
          <t>Review Product_Scrap_Summary.</t>
        </is>
      </c>
    </row>
    <row r="5">
      <c r="A5" t="inlineStr">
        <is>
          <t>Step 4</t>
        </is>
      </c>
      <c r="B5" t="inlineStr">
        <is>
          <t>Review Monthly_Scrap.</t>
        </is>
      </c>
    </row>
    <row r="6">
      <c r="A6" t="inlineStr">
        <is>
          <t>Step 5</t>
        </is>
      </c>
      <c r="B6" t="inlineStr">
        <is>
          <t>Review Region_Scrap.</t>
        </is>
      </c>
    </row>
    <row r="7">
      <c r="A7" t="inlineStr">
        <is>
          <t>Step 6</t>
        </is>
      </c>
      <c r="B7" t="inlineStr">
        <is>
          <t>Review Product_Region_Scrap.</t>
        </is>
      </c>
    </row>
    <row r="8">
      <c r="A8" t="inlineStr">
        <is>
          <t>Step 7</t>
        </is>
      </c>
      <c r="B8" t="inlineStr">
        <is>
          <t>Answer Scrap_Questions.</t>
        </is>
      </c>
    </row>
    <row r="9">
      <c r="A9" t="inlineStr">
        <is>
          <t>Step 8</t>
        </is>
      </c>
      <c r="B9" t="inlineStr">
        <is>
          <t>Review Business_Insights.</t>
        </is>
      </c>
    </row>
    <row r="10">
      <c r="A10" t="inlineStr">
        <is>
          <t>Step 9</t>
        </is>
      </c>
      <c r="B10" t="inlineStr">
        <is>
          <t>Review the dashboard.</t>
        </is>
      </c>
    </row>
    <row r="11">
      <c r="A11" t="inlineStr">
        <is>
          <t>Step 10</t>
        </is>
      </c>
      <c r="B11" t="inlineStr">
        <is>
          <t>Write evidence-based observations.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2026-09-16T04:46:05Z</dcterms:created>
  <dcterms:modified xmlns:dcterms="http://purl.org/dc/terms/" xmlns:xsi="http://www.w3.org/2001/XMLSchema-instance" xsi:type="dcterms:W3CDTF">2026-09-16T04:46:05Z</dcterms:modified>
</cp:coreProperties>
</file>