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_Card_Data" sheetId="1" state="visible" r:id="rId1"/>
    <sheet xmlns:r="http://schemas.openxmlformats.org/officeDocument/2006/relationships" name="Monthly_Market" sheetId="2" state="visible" r:id="rId2"/>
    <sheet xmlns:r="http://schemas.openxmlformats.org/officeDocument/2006/relationships" name="Bank_Summary" sheetId="3" state="visible" r:id="rId3"/>
    <sheet xmlns:r="http://schemas.openxmlformats.org/officeDocument/2006/relationships" name="Bank_Monthly_Trend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Credit Card Lending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'Monthly_Market'!B1</f>
            </strRef>
          </tx>
          <spPr>
            <a:ln xmlns:a="http://schemas.openxmlformats.org/drawingml/2006/main" w="28575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'Monthly_Market'!$A$2:$A$7</f>
            </numRef>
          </cat>
          <val>
            <numRef>
              <f>'Monthly_Market'!$B$2:$B$7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Lending (Cr)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Lending by Bank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'Bank_Summary'!B1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'Bank_Summary'!$A$2:$A$5</f>
            </numRef>
          </cat>
          <val>
            <numRef>
              <f>'Bank_Summary'!$B$2:$B$5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Lending (Cr)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Bank-wise Credit Card Lending Trend</a:t>
            </a:r>
          </a:p>
        </rich>
      </tx>
    </title>
    <plotArea>
      <lineChart>
        <grouping val="standard"/>
        <ser>
          <idx val="0"/>
          <order val="0"/>
          <tx>
            <strRef>
              <f>'Bank_Monthly_Trend'!B1</f>
            </strRef>
          </tx>
          <spPr>
            <a:ln xmlns:a="http://schemas.openxmlformats.org/drawingml/2006/main" w="28575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'Bank_Monthly_Trend'!$A$2:$A$7</f>
            </numRef>
          </cat>
          <val>
            <numRef>
              <f>'Bank_Monthly_Trend'!$B$2:$B$7</f>
            </numRef>
          </val>
        </ser>
        <ser>
          <idx val="1"/>
          <order val="1"/>
          <tx>
            <strRef>
              <f>'Bank_Monthly_Trend'!C1</f>
            </strRef>
          </tx>
          <spPr>
            <a:ln xmlns:a="http://schemas.openxmlformats.org/drawingml/2006/main" w="28575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'Bank_Monthly_Trend'!$A$2:$A$7</f>
            </numRef>
          </cat>
          <val>
            <numRef>
              <f>'Bank_Monthly_Trend'!$C$2:$C$7</f>
            </numRef>
          </val>
        </ser>
        <ser>
          <idx val="2"/>
          <order val="2"/>
          <tx>
            <strRef>
              <f>'Bank_Monthly_Trend'!D1</f>
            </strRef>
          </tx>
          <spPr>
            <a:ln xmlns:a="http://schemas.openxmlformats.org/drawingml/2006/main" w="28575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'Bank_Monthly_Trend'!$A$2:$A$7</f>
            </numRef>
          </cat>
          <val>
            <numRef>
              <f>'Bank_Monthly_Trend'!$D$2:$D$7</f>
            </numRef>
          </val>
        </ser>
        <ser>
          <idx val="3"/>
          <order val="3"/>
          <tx>
            <strRef>
              <f>'Bank_Monthly_Trend'!E1</f>
            </strRef>
          </tx>
          <spPr>
            <a:ln xmlns:a="http://schemas.openxmlformats.org/drawingml/2006/main" w="28575">
              <a:solidFill>
                <a:srgbClr val="A5A5A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'Bank_Monthly_Trend'!$A$2:$A$7</f>
            </numRef>
          </cat>
          <val>
            <numRef>
              <f>'Bank_Monthly_Trend'!$E$2:$E$7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Lending (Cr)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Month</t>
        </is>
      </c>
      <c r="B1" s="1" t="inlineStr">
        <is>
          <t>Bank</t>
        </is>
      </c>
      <c r="C1" s="1" t="inlineStr">
        <is>
          <t>Credit_Card_Loans_Cr</t>
        </is>
      </c>
      <c r="D1" s="1" t="inlineStr">
        <is>
          <t>Active_Cards_Lakh</t>
        </is>
      </c>
      <c r="E1" s="1" t="inlineStr">
        <is>
          <t>Avg_Ticket_Rs</t>
        </is>
      </c>
      <c r="F1" s="1" t="inlineStr">
        <is>
          <t>Delinquency_%</t>
        </is>
      </c>
    </row>
    <row r="2">
      <c r="A2" t="inlineStr">
        <is>
          <t>Jan</t>
        </is>
      </c>
      <c r="B2" t="inlineStr">
        <is>
          <t>Alpha Finance</t>
        </is>
      </c>
      <c r="C2" t="n">
        <v>420</v>
      </c>
      <c r="D2" t="n">
        <v>8.4</v>
      </c>
      <c r="E2" t="n">
        <v>50000</v>
      </c>
      <c r="F2" t="n">
        <v>2.1</v>
      </c>
    </row>
    <row r="3">
      <c r="A3" t="inlineStr">
        <is>
          <t>Feb</t>
        </is>
      </c>
      <c r="B3" t="inlineStr">
        <is>
          <t>Alpha Finance</t>
        </is>
      </c>
      <c r="C3" t="n">
        <v>438</v>
      </c>
      <c r="D3" t="n">
        <v>8.699999999999999</v>
      </c>
      <c r="E3" t="n">
        <v>50400</v>
      </c>
      <c r="F3" t="n">
        <v>2</v>
      </c>
    </row>
    <row r="4">
      <c r="A4" t="inlineStr">
        <is>
          <t>Mar</t>
        </is>
      </c>
      <c r="B4" t="inlineStr">
        <is>
          <t>Alpha Finance</t>
        </is>
      </c>
      <c r="C4" t="n">
        <v>455</v>
      </c>
      <c r="D4" t="n">
        <v>9</v>
      </c>
      <c r="E4" t="n">
        <v>50600</v>
      </c>
      <c r="F4" t="n">
        <v>2</v>
      </c>
    </row>
    <row r="5">
      <c r="A5" t="inlineStr">
        <is>
          <t>Apr</t>
        </is>
      </c>
      <c r="B5" t="inlineStr">
        <is>
          <t>Alpha Finance</t>
        </is>
      </c>
      <c r="C5" t="n">
        <v>472</v>
      </c>
      <c r="D5" t="n">
        <v>9.300000000000001</v>
      </c>
      <c r="E5" t="n">
        <v>50700</v>
      </c>
      <c r="F5" t="n">
        <v>1.9</v>
      </c>
    </row>
    <row r="6">
      <c r="A6" t="inlineStr">
        <is>
          <t>May</t>
        </is>
      </c>
      <c r="B6" t="inlineStr">
        <is>
          <t>Alpha Finance</t>
        </is>
      </c>
      <c r="C6" t="n">
        <v>491</v>
      </c>
      <c r="D6" t="n">
        <v>9.6</v>
      </c>
      <c r="E6" t="n">
        <v>51100</v>
      </c>
      <c r="F6" t="n">
        <v>1.9</v>
      </c>
    </row>
    <row r="7">
      <c r="A7" t="inlineStr">
        <is>
          <t>Jun</t>
        </is>
      </c>
      <c r="B7" t="inlineStr">
        <is>
          <t>Alpha Finance</t>
        </is>
      </c>
      <c r="C7" t="n">
        <v>515</v>
      </c>
      <c r="D7" t="n">
        <v>10</v>
      </c>
      <c r="E7" t="n">
        <v>51500</v>
      </c>
      <c r="F7" t="n">
        <v>1.8</v>
      </c>
    </row>
    <row r="8">
      <c r="A8" t="inlineStr">
        <is>
          <t>Jan</t>
        </is>
      </c>
      <c r="B8" t="inlineStr">
        <is>
          <t>Beta Finance</t>
        </is>
      </c>
      <c r="C8" t="n">
        <v>350</v>
      </c>
      <c r="D8" t="n">
        <v>7.2</v>
      </c>
      <c r="E8" t="n">
        <v>48600</v>
      </c>
      <c r="F8" t="n">
        <v>2.7</v>
      </c>
    </row>
    <row r="9">
      <c r="A9" t="inlineStr">
        <is>
          <t>Feb</t>
        </is>
      </c>
      <c r="B9" t="inlineStr">
        <is>
          <t>Beta Finance</t>
        </is>
      </c>
      <c r="C9" t="n">
        <v>362</v>
      </c>
      <c r="D9" t="n">
        <v>7.4</v>
      </c>
      <c r="E9" t="n">
        <v>48900</v>
      </c>
      <c r="F9" t="n">
        <v>2.6</v>
      </c>
    </row>
    <row r="10">
      <c r="A10" t="inlineStr">
        <is>
          <t>Mar</t>
        </is>
      </c>
      <c r="B10" t="inlineStr">
        <is>
          <t>Beta Finance</t>
        </is>
      </c>
      <c r="C10" t="n">
        <v>375</v>
      </c>
      <c r="D10" t="n">
        <v>7.7</v>
      </c>
      <c r="E10" t="n">
        <v>48700</v>
      </c>
      <c r="F10" t="n">
        <v>2.5</v>
      </c>
    </row>
    <row r="11">
      <c r="A11" t="inlineStr">
        <is>
          <t>Apr</t>
        </is>
      </c>
      <c r="B11" t="inlineStr">
        <is>
          <t>Beta Finance</t>
        </is>
      </c>
      <c r="C11" t="n">
        <v>388</v>
      </c>
      <c r="D11" t="n">
        <v>7.9</v>
      </c>
      <c r="E11" t="n">
        <v>49100</v>
      </c>
      <c r="F11" t="n">
        <v>2.4</v>
      </c>
    </row>
    <row r="12">
      <c r="A12" t="inlineStr">
        <is>
          <t>May</t>
        </is>
      </c>
      <c r="B12" t="inlineStr">
        <is>
          <t>Beta Finance</t>
        </is>
      </c>
      <c r="C12" t="n">
        <v>402</v>
      </c>
      <c r="D12" t="n">
        <v>8.199999999999999</v>
      </c>
      <c r="E12" t="n">
        <v>49000</v>
      </c>
      <c r="F12" t="n">
        <v>2.4</v>
      </c>
    </row>
    <row r="13">
      <c r="A13" t="inlineStr">
        <is>
          <t>Jun</t>
        </is>
      </c>
      <c r="B13" t="inlineStr">
        <is>
          <t>Beta Finance</t>
        </is>
      </c>
      <c r="C13" t="n">
        <v>420</v>
      </c>
      <c r="D13" t="n">
        <v>8.5</v>
      </c>
      <c r="E13" t="n">
        <v>49400</v>
      </c>
      <c r="F13" t="n">
        <v>2.3</v>
      </c>
    </row>
    <row r="14">
      <c r="A14" t="inlineStr">
        <is>
          <t>Jan</t>
        </is>
      </c>
      <c r="B14" t="inlineStr">
        <is>
          <t>Gamma Finance</t>
        </is>
      </c>
      <c r="C14" t="n">
        <v>245</v>
      </c>
      <c r="D14" t="n">
        <v>5.4</v>
      </c>
      <c r="E14" t="n">
        <v>45400</v>
      </c>
      <c r="F14" t="n">
        <v>3.1</v>
      </c>
    </row>
    <row r="15">
      <c r="A15" t="inlineStr">
        <is>
          <t>Feb</t>
        </is>
      </c>
      <c r="B15" t="inlineStr">
        <is>
          <t>Gamma Finance</t>
        </is>
      </c>
      <c r="C15" t="n">
        <v>252</v>
      </c>
      <c r="D15" t="n">
        <v>5.5</v>
      </c>
      <c r="E15" t="n">
        <v>45800</v>
      </c>
      <c r="F15" t="n">
        <v>3</v>
      </c>
    </row>
    <row r="16">
      <c r="A16" t="inlineStr">
        <is>
          <t>Mar</t>
        </is>
      </c>
      <c r="B16" t="inlineStr">
        <is>
          <t>Gamma Finance</t>
        </is>
      </c>
      <c r="C16" t="n">
        <v>261</v>
      </c>
      <c r="D16" t="n">
        <v>5.7</v>
      </c>
      <c r="E16" t="n">
        <v>45800</v>
      </c>
      <c r="F16" t="n">
        <v>2.9</v>
      </c>
    </row>
    <row r="17">
      <c r="A17" t="inlineStr">
        <is>
          <t>Apr</t>
        </is>
      </c>
      <c r="B17" t="inlineStr">
        <is>
          <t>Gamma Finance</t>
        </is>
      </c>
      <c r="C17" t="n">
        <v>270</v>
      </c>
      <c r="D17" t="n">
        <v>5.9</v>
      </c>
      <c r="E17" t="n">
        <v>45800</v>
      </c>
      <c r="F17" t="n">
        <v>2.8</v>
      </c>
    </row>
    <row r="18">
      <c r="A18" t="inlineStr">
        <is>
          <t>May</t>
        </is>
      </c>
      <c r="B18" t="inlineStr">
        <is>
          <t>Gamma Finance</t>
        </is>
      </c>
      <c r="C18" t="n">
        <v>282</v>
      </c>
      <c r="D18" t="n">
        <v>6.1</v>
      </c>
      <c r="E18" t="n">
        <v>46200</v>
      </c>
      <c r="F18" t="n">
        <v>2.7</v>
      </c>
    </row>
    <row r="19">
      <c r="A19" t="inlineStr">
        <is>
          <t>Jun</t>
        </is>
      </c>
      <c r="B19" t="inlineStr">
        <is>
          <t>Gamma Finance</t>
        </is>
      </c>
      <c r="C19" t="n">
        <v>295</v>
      </c>
      <c r="D19" t="n">
        <v>6.4</v>
      </c>
      <c r="E19" t="n">
        <v>46100</v>
      </c>
      <c r="F19" t="n">
        <v>2.6</v>
      </c>
    </row>
    <row r="20">
      <c r="A20" t="inlineStr">
        <is>
          <t>Jan</t>
        </is>
      </c>
      <c r="B20" t="inlineStr">
        <is>
          <t>Delta Finance</t>
        </is>
      </c>
      <c r="C20" t="n">
        <v>180</v>
      </c>
      <c r="D20" t="n">
        <v>4.1</v>
      </c>
      <c r="E20" t="n">
        <v>43900</v>
      </c>
      <c r="F20" t="n">
        <v>3.6</v>
      </c>
    </row>
    <row r="21">
      <c r="A21" t="inlineStr">
        <is>
          <t>Feb</t>
        </is>
      </c>
      <c r="B21" t="inlineStr">
        <is>
          <t>Delta Finance</t>
        </is>
      </c>
      <c r="C21" t="n">
        <v>186</v>
      </c>
      <c r="D21" t="n">
        <v>4.2</v>
      </c>
      <c r="E21" t="n">
        <v>44300</v>
      </c>
      <c r="F21" t="n">
        <v>3.5</v>
      </c>
    </row>
    <row r="22">
      <c r="A22" t="inlineStr">
        <is>
          <t>Mar</t>
        </is>
      </c>
      <c r="B22" t="inlineStr">
        <is>
          <t>Delta Finance</t>
        </is>
      </c>
      <c r="C22" t="n">
        <v>193</v>
      </c>
      <c r="D22" t="n">
        <v>4.4</v>
      </c>
      <c r="E22" t="n">
        <v>43900</v>
      </c>
      <c r="F22" t="n">
        <v>3.4</v>
      </c>
    </row>
    <row r="23">
      <c r="A23" t="inlineStr">
        <is>
          <t>Apr</t>
        </is>
      </c>
      <c r="B23" t="inlineStr">
        <is>
          <t>Delta Finance</t>
        </is>
      </c>
      <c r="C23" t="n">
        <v>201</v>
      </c>
      <c r="D23" t="n">
        <v>4.5</v>
      </c>
      <c r="E23" t="n">
        <v>44700</v>
      </c>
      <c r="F23" t="n">
        <v>3.3</v>
      </c>
    </row>
    <row r="24">
      <c r="A24" t="inlineStr">
        <is>
          <t>May</t>
        </is>
      </c>
      <c r="B24" t="inlineStr">
        <is>
          <t>Delta Finance</t>
        </is>
      </c>
      <c r="C24" t="n">
        <v>210</v>
      </c>
      <c r="D24" t="n">
        <v>4.7</v>
      </c>
      <c r="E24" t="n">
        <v>44700</v>
      </c>
      <c r="F24" t="n">
        <v>3.2</v>
      </c>
    </row>
    <row r="25">
      <c r="A25" t="inlineStr">
        <is>
          <t>Jun</t>
        </is>
      </c>
      <c r="B25" t="inlineStr">
        <is>
          <t>Delta Finance</t>
        </is>
      </c>
      <c r="C25" t="n">
        <v>221</v>
      </c>
      <c r="D25" t="n">
        <v>4.9</v>
      </c>
      <c r="E25" t="n">
        <v>45100</v>
      </c>
      <c r="F25" t="n">
        <v>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Month</t>
        </is>
      </c>
      <c r="B1" s="1" t="inlineStr">
        <is>
          <t>Total Lending Cr</t>
        </is>
      </c>
      <c r="C1" s="1" t="inlineStr">
        <is>
          <t>Market Share %</t>
        </is>
      </c>
      <c r="D1" s="1" t="inlineStr">
        <is>
          <t>Active Cards Lakh</t>
        </is>
      </c>
    </row>
    <row r="2">
      <c r="A2" t="inlineStr">
        <is>
          <t>Jan</t>
        </is>
      </c>
      <c r="B2">
        <f>SUMIF(Credit_Card_Data!$A$2:$A$25,A2,Credit_Card_Data!$C$2:$C$25)</f>
        <v/>
      </c>
      <c r="C2" s="2">
        <f>B2/SUM($B$2:$B$7)</f>
        <v/>
      </c>
      <c r="D2">
        <f>SUMIF(Credit_Card_Data!$A$2:$A$25,A2,Credit_Card_Data!$D$2:$D$25)</f>
        <v/>
      </c>
    </row>
    <row r="3">
      <c r="A3" t="inlineStr">
        <is>
          <t>Feb</t>
        </is>
      </c>
      <c r="B3">
        <f>SUMIF(Credit_Card_Data!$A$2:$A$25,A3,Credit_Card_Data!$C$2:$C$25)</f>
        <v/>
      </c>
      <c r="C3" s="2">
        <f>B3/SUM($B$2:$B$7)</f>
        <v/>
      </c>
      <c r="D3">
        <f>SUMIF(Credit_Card_Data!$A$2:$A$25,A3,Credit_Card_Data!$D$2:$D$25)</f>
        <v/>
      </c>
    </row>
    <row r="4">
      <c r="A4" t="inlineStr">
        <is>
          <t>Mar</t>
        </is>
      </c>
      <c r="B4">
        <f>SUMIF(Credit_Card_Data!$A$2:$A$25,A4,Credit_Card_Data!$C$2:$C$25)</f>
        <v/>
      </c>
      <c r="C4" s="2">
        <f>B4/SUM($B$2:$B$7)</f>
        <v/>
      </c>
      <c r="D4">
        <f>SUMIF(Credit_Card_Data!$A$2:$A$25,A4,Credit_Card_Data!$D$2:$D$25)</f>
        <v/>
      </c>
    </row>
    <row r="5">
      <c r="A5" t="inlineStr">
        <is>
          <t>Apr</t>
        </is>
      </c>
      <c r="B5">
        <f>SUMIF(Credit_Card_Data!$A$2:$A$25,A5,Credit_Card_Data!$C$2:$C$25)</f>
        <v/>
      </c>
      <c r="C5" s="2">
        <f>B5/SUM($B$2:$B$7)</f>
        <v/>
      </c>
      <c r="D5">
        <f>SUMIF(Credit_Card_Data!$A$2:$A$25,A5,Credit_Card_Data!$D$2:$D$25)</f>
        <v/>
      </c>
    </row>
    <row r="6">
      <c r="A6" t="inlineStr">
        <is>
          <t>May</t>
        </is>
      </c>
      <c r="B6">
        <f>SUMIF(Credit_Card_Data!$A$2:$A$25,A6,Credit_Card_Data!$C$2:$C$25)</f>
        <v/>
      </c>
      <c r="C6" s="2">
        <f>B6/SUM($B$2:$B$7)</f>
        <v/>
      </c>
      <c r="D6">
        <f>SUMIF(Credit_Card_Data!$A$2:$A$25,A6,Credit_Card_Data!$D$2:$D$25)</f>
        <v/>
      </c>
    </row>
    <row r="7">
      <c r="A7" t="inlineStr">
        <is>
          <t>Jun</t>
        </is>
      </c>
      <c r="B7">
        <f>SUMIF(Credit_Card_Data!$A$2:$A$25,A7,Credit_Card_Data!$C$2:$C$25)</f>
        <v/>
      </c>
      <c r="C7" s="2">
        <f>B7/SUM($B$2:$B$7)</f>
        <v/>
      </c>
      <c r="D7">
        <f>SUMIF(Credit_Card_Data!$A$2:$A$25,A7,Credit_Card_Data!$D$2:$D$25)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Bank</t>
        </is>
      </c>
      <c r="B1" s="1" t="inlineStr">
        <is>
          <t>Total Lending Cr</t>
        </is>
      </c>
      <c r="C1" s="1" t="inlineStr">
        <is>
          <t>Market Share %</t>
        </is>
      </c>
      <c r="D1" s="1" t="inlineStr">
        <is>
          <t>Total Active Cards Lakh</t>
        </is>
      </c>
      <c r="E1" s="1" t="inlineStr">
        <is>
          <t>Average Delinquency %</t>
        </is>
      </c>
    </row>
    <row r="2">
      <c r="A2" t="inlineStr">
        <is>
          <t>Alpha Finance</t>
        </is>
      </c>
      <c r="B2">
        <f>SUMIF(Credit_Card_Data!$B$2:$B$25,A2,Credit_Card_Data!$C$2:$C$25)</f>
        <v/>
      </c>
      <c r="C2" s="2">
        <f>B2/SUM($B$2:$B$5)</f>
        <v/>
      </c>
      <c r="D2">
        <f>SUMIF(Credit_Card_Data!$B$2:$B$25,A2,Credit_Card_Data!$D$2:$D$25)</f>
        <v/>
      </c>
      <c r="E2">
        <f>AVERAGEIF(Credit_Card_Data!$B$2:$B$25,A2,Credit_Card_Data!$F$2:$F$25)</f>
        <v/>
      </c>
    </row>
    <row r="3">
      <c r="A3" t="inlineStr">
        <is>
          <t>Beta Finance</t>
        </is>
      </c>
      <c r="B3">
        <f>SUMIF(Credit_Card_Data!$B$2:$B$25,A3,Credit_Card_Data!$C$2:$C$25)</f>
        <v/>
      </c>
      <c r="C3" s="2">
        <f>B3/SUM($B$2:$B$5)</f>
        <v/>
      </c>
      <c r="D3">
        <f>SUMIF(Credit_Card_Data!$B$2:$B$25,A3,Credit_Card_Data!$D$2:$D$25)</f>
        <v/>
      </c>
      <c r="E3">
        <f>AVERAGEIF(Credit_Card_Data!$B$2:$B$25,A3,Credit_Card_Data!$F$2:$F$25)</f>
        <v/>
      </c>
    </row>
    <row r="4">
      <c r="A4" t="inlineStr">
        <is>
          <t>Gamma Finance</t>
        </is>
      </c>
      <c r="B4">
        <f>SUMIF(Credit_Card_Data!$B$2:$B$25,A4,Credit_Card_Data!$C$2:$C$25)</f>
        <v/>
      </c>
      <c r="C4" s="2">
        <f>B4/SUM($B$2:$B$5)</f>
        <v/>
      </c>
      <c r="D4">
        <f>SUMIF(Credit_Card_Data!$B$2:$B$25,A4,Credit_Card_Data!$D$2:$D$25)</f>
        <v/>
      </c>
      <c r="E4">
        <f>AVERAGEIF(Credit_Card_Data!$B$2:$B$25,A4,Credit_Card_Data!$F$2:$F$25)</f>
        <v/>
      </c>
    </row>
    <row r="5">
      <c r="A5" t="inlineStr">
        <is>
          <t>Delta Finance</t>
        </is>
      </c>
      <c r="B5">
        <f>SUMIF(Credit_Card_Data!$B$2:$B$25,A5,Credit_Card_Data!$C$2:$C$25)</f>
        <v/>
      </c>
      <c r="C5" s="2">
        <f>B5/SUM($B$2:$B$5)</f>
        <v/>
      </c>
      <c r="D5">
        <f>SUMIF(Credit_Card_Data!$B$2:$B$25,A5,Credit_Card_Data!$D$2:$D$25)</f>
        <v/>
      </c>
      <c r="E5">
        <f>AVERAGEIF(Credit_Card_Data!$B$2:$B$25,A5,Credit_Card_Data!$F$2:$F$25)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Month</t>
        </is>
      </c>
      <c r="B1" s="1" t="inlineStr">
        <is>
          <t>Alpha Finance</t>
        </is>
      </c>
      <c r="C1" s="1" t="inlineStr">
        <is>
          <t>Beta Finance</t>
        </is>
      </c>
      <c r="D1" s="1" t="inlineStr">
        <is>
          <t>Gamma Finance</t>
        </is>
      </c>
      <c r="E1" s="1" t="inlineStr">
        <is>
          <t>Delta Finance</t>
        </is>
      </c>
    </row>
    <row r="2">
      <c r="A2" t="inlineStr">
        <is>
          <t>Jan</t>
        </is>
      </c>
      <c r="B2">
        <f>SUMIFS(Credit_Card_Data!$C$2:$C$25,Credit_Card_Data!$A$2:$A$25,$A2,Credit_Card_Data!$B$2:$B$25,B$1)</f>
        <v/>
      </c>
      <c r="C2">
        <f>SUMIFS(Credit_Card_Data!$C$2:$C$25,Credit_Card_Data!$A$2:$A$25,$A2,Credit_Card_Data!$B$2:$B$25,C$1)</f>
        <v/>
      </c>
      <c r="D2">
        <f>SUMIFS(Credit_Card_Data!$C$2:$C$25,Credit_Card_Data!$A$2:$A$25,$A2,Credit_Card_Data!$B$2:$B$25,D$1)</f>
        <v/>
      </c>
      <c r="E2">
        <f>SUMIFS(Credit_Card_Data!$C$2:$C$25,Credit_Card_Data!$A$2:$A$25,$A2,Credit_Card_Data!$B$2:$B$25,E$1)</f>
        <v/>
      </c>
    </row>
    <row r="3">
      <c r="A3" t="inlineStr">
        <is>
          <t>Feb</t>
        </is>
      </c>
      <c r="B3">
        <f>SUMIFS(Credit_Card_Data!$C$2:$C$25,Credit_Card_Data!$A$2:$A$25,$A3,Credit_Card_Data!$B$2:$B$25,B$1)</f>
        <v/>
      </c>
      <c r="C3">
        <f>SUMIFS(Credit_Card_Data!$C$2:$C$25,Credit_Card_Data!$A$2:$A$25,$A3,Credit_Card_Data!$B$2:$B$25,C$1)</f>
        <v/>
      </c>
      <c r="D3">
        <f>SUMIFS(Credit_Card_Data!$C$2:$C$25,Credit_Card_Data!$A$2:$A$25,$A3,Credit_Card_Data!$B$2:$B$25,D$1)</f>
        <v/>
      </c>
      <c r="E3">
        <f>SUMIFS(Credit_Card_Data!$C$2:$C$25,Credit_Card_Data!$A$2:$A$25,$A3,Credit_Card_Data!$B$2:$B$25,E$1)</f>
        <v/>
      </c>
    </row>
    <row r="4">
      <c r="A4" t="inlineStr">
        <is>
          <t>Mar</t>
        </is>
      </c>
      <c r="B4">
        <f>SUMIFS(Credit_Card_Data!$C$2:$C$25,Credit_Card_Data!$A$2:$A$25,$A4,Credit_Card_Data!$B$2:$B$25,B$1)</f>
        <v/>
      </c>
      <c r="C4">
        <f>SUMIFS(Credit_Card_Data!$C$2:$C$25,Credit_Card_Data!$A$2:$A$25,$A4,Credit_Card_Data!$B$2:$B$25,C$1)</f>
        <v/>
      </c>
      <c r="D4">
        <f>SUMIFS(Credit_Card_Data!$C$2:$C$25,Credit_Card_Data!$A$2:$A$25,$A4,Credit_Card_Data!$B$2:$B$25,D$1)</f>
        <v/>
      </c>
      <c r="E4">
        <f>SUMIFS(Credit_Card_Data!$C$2:$C$25,Credit_Card_Data!$A$2:$A$25,$A4,Credit_Card_Data!$B$2:$B$25,E$1)</f>
        <v/>
      </c>
    </row>
    <row r="5">
      <c r="A5" t="inlineStr">
        <is>
          <t>Apr</t>
        </is>
      </c>
      <c r="B5">
        <f>SUMIFS(Credit_Card_Data!$C$2:$C$25,Credit_Card_Data!$A$2:$A$25,$A5,Credit_Card_Data!$B$2:$B$25,B$1)</f>
        <v/>
      </c>
      <c r="C5">
        <f>SUMIFS(Credit_Card_Data!$C$2:$C$25,Credit_Card_Data!$A$2:$A$25,$A5,Credit_Card_Data!$B$2:$B$25,C$1)</f>
        <v/>
      </c>
      <c r="D5">
        <f>SUMIFS(Credit_Card_Data!$C$2:$C$25,Credit_Card_Data!$A$2:$A$25,$A5,Credit_Card_Data!$B$2:$B$25,D$1)</f>
        <v/>
      </c>
      <c r="E5">
        <f>SUMIFS(Credit_Card_Data!$C$2:$C$25,Credit_Card_Data!$A$2:$A$25,$A5,Credit_Card_Data!$B$2:$B$25,E$1)</f>
        <v/>
      </c>
    </row>
    <row r="6">
      <c r="A6" t="inlineStr">
        <is>
          <t>May</t>
        </is>
      </c>
      <c r="B6">
        <f>SUMIFS(Credit_Card_Data!$C$2:$C$25,Credit_Card_Data!$A$2:$A$25,$A6,Credit_Card_Data!$B$2:$B$25,B$1)</f>
        <v/>
      </c>
      <c r="C6">
        <f>SUMIFS(Credit_Card_Data!$C$2:$C$25,Credit_Card_Data!$A$2:$A$25,$A6,Credit_Card_Data!$B$2:$B$25,C$1)</f>
        <v/>
      </c>
      <c r="D6">
        <f>SUMIFS(Credit_Card_Data!$C$2:$C$25,Credit_Card_Data!$A$2:$A$25,$A6,Credit_Card_Data!$B$2:$B$25,D$1)</f>
        <v/>
      </c>
      <c r="E6">
        <f>SUMIFS(Credit_Card_Data!$C$2:$C$25,Credit_Card_Data!$A$2:$A$25,$A6,Credit_Card_Data!$B$2:$B$25,E$1)</f>
        <v/>
      </c>
    </row>
    <row r="7">
      <c r="A7" t="inlineStr">
        <is>
          <t>Jun</t>
        </is>
      </c>
      <c r="B7">
        <f>SUMIFS(Credit_Card_Data!$C$2:$C$25,Credit_Card_Data!$A$2:$A$25,$A7,Credit_Card_Data!$B$2:$B$25,B$1)</f>
        <v/>
      </c>
      <c r="C7">
        <f>SUMIFS(Credit_Card_Data!$C$2:$C$25,Credit_Card_Data!$A$2:$A$25,$A7,Credit_Card_Data!$B$2:$B$25,C$1)</f>
        <v/>
      </c>
      <c r="D7">
        <f>SUMIFS(Credit_Card_Data!$C$2:$C$25,Credit_Card_Data!$A$2:$A$25,$A7,Credit_Card_Data!$B$2:$B$25,D$1)</f>
        <v/>
      </c>
      <c r="E7">
        <f>SUMIFS(Credit_Card_Data!$C$2:$C$25,Credit_Card_Data!$A$2:$A$25,$A7,Credit_Card_Data!$B$2:$B$25,E$1)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DAY 018 — W4_L5</t>
        </is>
      </c>
    </row>
    <row r="2">
      <c r="A2" t="inlineStr">
        <is>
          <t>Topic: Understanding Market Share — Part 3 | Credit Card Lending Trends</t>
        </is>
      </c>
    </row>
    <row r="3">
      <c r="A3" t="inlineStr"/>
    </row>
    <row r="4">
      <c r="A4" t="inlineStr">
        <is>
          <t>Use Credit_Card_Data as the raw dataset.</t>
        </is>
      </c>
    </row>
    <row r="5">
      <c r="A5" t="inlineStr">
        <is>
          <t>Study Monthly_Market to compare total lending month by month.</t>
        </is>
      </c>
    </row>
    <row r="6">
      <c r="A6" t="inlineStr">
        <is>
          <t>Study Bank_Summary to compare banks and their measured market share.</t>
        </is>
      </c>
    </row>
    <row r="7">
      <c r="A7" t="inlineStr">
        <is>
          <t>Study Bank_Monthly_Trend to compare lending trends across banks.</t>
        </is>
      </c>
    </row>
    <row r="8">
      <c r="A8" t="inlineStr">
        <is>
          <t>Use the charts as business-visualization examples.</t>
        </is>
      </c>
    </row>
    <row r="9">
      <c r="A9" t="inlineStr">
        <is>
          <t>Recreate the summaries with PivotTables when practicing.</t>
        </is>
      </c>
    </row>
    <row r="10">
      <c r="A10" t="inlineStr">
        <is>
          <t>Validate totals before writing insights.</t>
        </is>
      </c>
    </row>
    <row r="11">
      <c r="A11" t="inlineStr">
        <is>
          <t>Focus on trend, market share, active cards, and delinquency.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2026-09-15T06:03:17Z</dcterms:created>
  <dcterms:modified xmlns:dcterms="http://purl.org/dc/terms/" xmlns:xsi="http://www.w3.org/2001/XMLSchema-instance" xsi:type="dcterms:W3CDTF">2026-09-15T06:03:17Z</dcterms:modified>
</cp:coreProperties>
</file>