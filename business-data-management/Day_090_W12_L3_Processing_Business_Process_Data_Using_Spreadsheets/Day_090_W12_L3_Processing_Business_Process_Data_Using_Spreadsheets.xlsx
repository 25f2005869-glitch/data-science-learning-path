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_Process_Data" sheetId="2" state="visible" r:id="rId2"/>
    <sheet xmlns:r="http://schemas.openxmlformats.org/officeDocument/2006/relationships" name="Processed_Data" sheetId="3" state="visible" r:id="rId3"/>
    <sheet xmlns:r="http://schemas.openxmlformats.org/officeDocument/2006/relationships" name="Function_Summary" sheetId="4" state="visible" r:id="rId4"/>
    <sheet xmlns:r="http://schemas.openxmlformats.org/officeDocument/2006/relationships" name="Process_Summary" sheetId="5" state="visible" r:id="rId5"/>
    <sheet xmlns:r="http://schemas.openxmlformats.org/officeDocument/2006/relationships" name="KPI_Summary" sheetId="6" state="visible" r:id="rId6"/>
    <sheet xmlns:r="http://schemas.openxmlformats.org/officeDocument/2006/relationships" name="Spreadsheet_Operations" sheetId="7" state="visible" r:id="rId7"/>
    <sheet xmlns:r="http://schemas.openxmlformats.org/officeDocument/2006/relationships" name="Analysis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Operations_Dashboard" sheetId="10" state="visible" r:id="rId10"/>
  </sheets>
  <definedNames>
    <definedName name="_xlnm._FilterDatabase" localSheetId="1" hidden="1">'Business_Process_Data'!$A$3:$K$27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Business Process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'Operations_Dashboard'!K2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'Operations_Dashboard'!$J$3:$J$6</f>
            </numRef>
          </cat>
          <val>
            <numRef>
              <f>'Operations_Dashboard'!$K$3:$K$6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Day 090 — W12 L3 — Processing Business Process Data Using Spreadsheets</t>
        </is>
      </c>
    </row>
    <row r="2">
      <c r="A2" t="inlineStr">
        <is>
          <t>Author</t>
        </is>
      </c>
      <c r="B2" t="inlineStr">
        <is>
          <t>Saloni Tiwari</t>
        </is>
      </c>
    </row>
    <row r="3">
      <c r="A3" t="inlineStr">
        <is>
          <t>Programme</t>
        </is>
      </c>
      <c r="B3" t="inlineStr">
        <is>
          <t>IIT Madras BS Degree — Diploma Level</t>
        </is>
      </c>
    </row>
    <row r="4">
      <c r="A4" t="inlineStr">
        <is>
          <t>Day</t>
        </is>
      </c>
      <c r="B4" t="inlineStr">
        <is>
          <t>090</t>
        </is>
      </c>
    </row>
    <row r="5">
      <c r="A5" t="inlineStr">
        <is>
          <t>Topic</t>
        </is>
      </c>
      <c r="B5" t="inlineStr">
        <is>
          <t>Processing Business Process Data Using Spreadsheets</t>
        </is>
      </c>
    </row>
    <row r="7">
      <c r="A7" t="inlineStr">
        <is>
          <t>Learning Goal</t>
        </is>
      </c>
      <c r="B7" t="inlineStr">
        <is>
          <t>Use spreadsheet operations to organise, calculate, filter, summarise, and visualise business process data.</t>
        </is>
      </c>
    </row>
    <row r="8">
      <c r="A8" t="inlineStr">
        <is>
          <t>Workflow</t>
        </is>
      </c>
      <c r="B8" t="inlineStr">
        <is>
          <t>Raw Data → Clean/Organise → Calculate → Summarise → Visualise → Interpret</t>
        </is>
      </c>
    </row>
    <row r="9">
      <c r="A9" t="inlineStr">
        <is>
          <t>Important</t>
        </is>
      </c>
      <c r="B9" t="inlineStr">
        <is>
          <t>This is a synthetic educational dataset created for spreadsheet and business analytics practice.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2" customWidth="1" min="4" max="4"/>
    <col width="18" customWidth="1" min="5" max="5"/>
    <col width="16" customWidth="1" min="6" max="6"/>
    <col width="16" customWidth="1" min="7" max="7"/>
    <col width="20" customWidth="1" min="8" max="8"/>
    <col width="14" customWidth="1" min="9" max="9"/>
    <col width="18" customWidth="1" min="10" max="10"/>
    <col width="25" customWidth="1" min="11" max="11"/>
  </cols>
  <sheetData>
    <row r="1">
      <c r="A1" s="2" t="inlineStr">
        <is>
          <t>Day 090 — Business Process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Synthetic educational data — for spreadsheet practice only.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2" t="inlineStr">
        <is>
          <t>Date</t>
        </is>
      </c>
      <c r="B3" s="2" t="inlineStr">
        <is>
          <t>Business_Function</t>
        </is>
      </c>
      <c r="C3" s="2" t="inlineStr">
        <is>
          <t>Process</t>
        </is>
      </c>
      <c r="D3" s="2" t="inlineStr">
        <is>
          <t>Orders</t>
        </is>
      </c>
      <c r="E3" s="2" t="inlineStr">
        <is>
          <t>Revenue_Rupee</t>
        </is>
      </c>
      <c r="F3" s="2" t="inlineStr">
        <is>
          <t>Cost_Rupee</t>
        </is>
      </c>
      <c r="G3" s="2" t="inlineStr">
        <is>
          <t>Delivery_Days</t>
        </is>
      </c>
      <c r="H3" s="2" t="inlineStr">
        <is>
          <t>On_Time_Deliveries</t>
        </is>
      </c>
      <c r="I3" s="2" t="inlineStr">
        <is>
          <t>Deliveries</t>
        </is>
      </c>
      <c r="J3" s="2" t="inlineStr">
        <is>
          <t>Returned_Orders</t>
        </is>
      </c>
      <c r="K3" s="2" t="inlineStr">
        <is>
          <t>Customer_Satisfaction_%</t>
        </is>
      </c>
    </row>
    <row r="4">
      <c r="A4" s="3" t="inlineStr">
        <is>
          <t>2026-01-05</t>
        </is>
      </c>
      <c r="B4" s="3" t="inlineStr">
        <is>
          <t>Sales</t>
        </is>
      </c>
      <c r="C4" s="3" t="inlineStr">
        <is>
          <t>Order Management</t>
        </is>
      </c>
      <c r="D4" s="3" t="n">
        <v>120</v>
      </c>
      <c r="E4" s="3" t="n">
        <v>360000</v>
      </c>
      <c r="F4" s="3" t="n">
        <v>240000</v>
      </c>
      <c r="G4" s="3" t="n">
        <v>2.1</v>
      </c>
      <c r="H4" s="3" t="n">
        <v>114</v>
      </c>
      <c r="I4" s="3" t="n">
        <v>120</v>
      </c>
      <c r="J4" s="3" t="n">
        <v>5</v>
      </c>
      <c r="K4" s="3" t="n">
        <v>88</v>
      </c>
    </row>
    <row r="5">
      <c r="A5" s="3" t="inlineStr">
        <is>
          <t>2026-01-10</t>
        </is>
      </c>
      <c r="B5" s="3" t="inlineStr">
        <is>
          <t>Operations</t>
        </is>
      </c>
      <c r="C5" s="3" t="inlineStr">
        <is>
          <t>Production</t>
        </is>
      </c>
      <c r="D5" s="3" t="n">
        <v>105</v>
      </c>
      <c r="E5" s="3" t="n">
        <v>420000</v>
      </c>
      <c r="F5" s="3" t="n">
        <v>280000</v>
      </c>
      <c r="G5" s="3" t="n">
        <v>2.7</v>
      </c>
      <c r="H5" s="3" t="n">
        <v>98</v>
      </c>
      <c r="I5" s="3" t="n">
        <v>105</v>
      </c>
      <c r="J5" s="3" t="n">
        <v>4</v>
      </c>
      <c r="K5" s="3" t="n">
        <v>86</v>
      </c>
    </row>
    <row r="6">
      <c r="A6" s="3" t="inlineStr">
        <is>
          <t>2026-01-15</t>
        </is>
      </c>
      <c r="B6" s="3" t="inlineStr">
        <is>
          <t>Operations</t>
        </is>
      </c>
      <c r="C6" s="3" t="inlineStr">
        <is>
          <t>Delivery</t>
        </is>
      </c>
      <c r="D6" s="3" t="n">
        <v>110</v>
      </c>
      <c r="E6" s="3" t="n">
        <v>440000</v>
      </c>
      <c r="F6" s="3" t="n">
        <v>330000</v>
      </c>
      <c r="G6" s="3" t="n">
        <v>2.6</v>
      </c>
      <c r="H6" s="3" t="n">
        <v>101</v>
      </c>
      <c r="I6" s="3" t="n">
        <v>110</v>
      </c>
      <c r="J6" s="3" t="n">
        <v>6</v>
      </c>
      <c r="K6" s="3" t="n">
        <v>87</v>
      </c>
    </row>
    <row r="7">
      <c r="A7" s="3" t="inlineStr">
        <is>
          <t>2026-01-20</t>
        </is>
      </c>
      <c r="B7" s="3" t="inlineStr">
        <is>
          <t>Customer Service</t>
        </is>
      </c>
      <c r="C7" s="3" t="inlineStr">
        <is>
          <t>Customer Support</t>
        </is>
      </c>
      <c r="D7" s="3" t="n">
        <v>90</v>
      </c>
      <c r="E7" s="3" t="n">
        <v>225000</v>
      </c>
      <c r="F7" s="3" t="n">
        <v>112000</v>
      </c>
      <c r="G7" s="3" t="n">
        <v>1.8</v>
      </c>
      <c r="H7" s="3" t="n">
        <v>84</v>
      </c>
      <c r="I7" s="3" t="n">
        <v>90</v>
      </c>
      <c r="J7" s="3" t="n">
        <v>7</v>
      </c>
      <c r="K7" s="3" t="n">
        <v>90</v>
      </c>
    </row>
    <row r="8">
      <c r="A8" s="3" t="inlineStr">
        <is>
          <t>2026-02-05</t>
        </is>
      </c>
      <c r="B8" s="3" t="inlineStr">
        <is>
          <t>Sales</t>
        </is>
      </c>
      <c r="C8" s="3" t="inlineStr">
        <is>
          <t>Order Management</t>
        </is>
      </c>
      <c r="D8" s="3" t="n">
        <v>135</v>
      </c>
      <c r="E8" s="3" t="n">
        <v>405000</v>
      </c>
      <c r="F8" s="3" t="n">
        <v>268000</v>
      </c>
      <c r="G8" s="3" t="n">
        <v>2</v>
      </c>
      <c r="H8" s="3" t="n">
        <v>129</v>
      </c>
      <c r="I8" s="3" t="n">
        <v>135</v>
      </c>
      <c r="J8" s="3" t="n">
        <v>5</v>
      </c>
      <c r="K8" s="3" t="n">
        <v>89</v>
      </c>
    </row>
    <row r="9">
      <c r="A9" s="3" t="inlineStr">
        <is>
          <t>2026-02-10</t>
        </is>
      </c>
      <c r="B9" s="3" t="inlineStr">
        <is>
          <t>Operations</t>
        </is>
      </c>
      <c r="C9" s="3" t="inlineStr">
        <is>
          <t>Production</t>
        </is>
      </c>
      <c r="D9" s="3" t="n">
        <v>118</v>
      </c>
      <c r="E9" s="3" t="n">
        <v>472000</v>
      </c>
      <c r="F9" s="3" t="n">
        <v>315000</v>
      </c>
      <c r="G9" s="3" t="n">
        <v>2.6</v>
      </c>
      <c r="H9" s="3" t="n">
        <v>111</v>
      </c>
      <c r="I9" s="3" t="n">
        <v>118</v>
      </c>
      <c r="J9" s="3" t="n">
        <v>4</v>
      </c>
      <c r="K9" s="3" t="n">
        <v>87</v>
      </c>
    </row>
    <row r="10">
      <c r="A10" s="3" t="inlineStr">
        <is>
          <t>2026-02-15</t>
        </is>
      </c>
      <c r="B10" s="3" t="inlineStr">
        <is>
          <t>Operations</t>
        </is>
      </c>
      <c r="C10" s="3" t="inlineStr">
        <is>
          <t>Delivery</t>
        </is>
      </c>
      <c r="D10" s="3" t="n">
        <v>125</v>
      </c>
      <c r="E10" s="3" t="n">
        <v>500000</v>
      </c>
      <c r="F10" s="3" t="n">
        <v>375000</v>
      </c>
      <c r="G10" s="3" t="n">
        <v>2.5</v>
      </c>
      <c r="H10" s="3" t="n">
        <v>117</v>
      </c>
      <c r="I10" s="3" t="n">
        <v>125</v>
      </c>
      <c r="J10" s="3" t="n">
        <v>6</v>
      </c>
      <c r="K10" s="3" t="n">
        <v>88</v>
      </c>
    </row>
    <row r="11">
      <c r="A11" s="3" t="inlineStr">
        <is>
          <t>2026-02-20</t>
        </is>
      </c>
      <c r="B11" s="3" t="inlineStr">
        <is>
          <t>Customer Service</t>
        </is>
      </c>
      <c r="C11" s="3" t="inlineStr">
        <is>
          <t>Customer Support</t>
        </is>
      </c>
      <c r="D11" s="3" t="n">
        <v>96</v>
      </c>
      <c r="E11" s="3" t="n">
        <v>240000</v>
      </c>
      <c r="F11" s="3" t="n">
        <v>120000</v>
      </c>
      <c r="G11" s="3" t="n">
        <v>1.9</v>
      </c>
      <c r="H11" s="3" t="n">
        <v>90</v>
      </c>
      <c r="I11" s="3" t="n">
        <v>96</v>
      </c>
      <c r="J11" s="3" t="n">
        <v>7</v>
      </c>
      <c r="K11" s="3" t="n">
        <v>91</v>
      </c>
    </row>
    <row r="12">
      <c r="A12" s="3" t="inlineStr">
        <is>
          <t>2026-03-05</t>
        </is>
      </c>
      <c r="B12" s="3" t="inlineStr">
        <is>
          <t>Sales</t>
        </is>
      </c>
      <c r="C12" s="3" t="inlineStr">
        <is>
          <t>Order Management</t>
        </is>
      </c>
      <c r="D12" s="3" t="n">
        <v>148</v>
      </c>
      <c r="E12" s="3" t="n">
        <v>444000</v>
      </c>
      <c r="F12" s="3" t="n">
        <v>294000</v>
      </c>
      <c r="G12" s="3" t="n">
        <v>2.2</v>
      </c>
      <c r="H12" s="3" t="n">
        <v>139</v>
      </c>
      <c r="I12" s="3" t="n">
        <v>148</v>
      </c>
      <c r="J12" s="3" t="n">
        <v>6</v>
      </c>
      <c r="K12" s="3" t="n">
        <v>89</v>
      </c>
    </row>
    <row r="13">
      <c r="A13" s="3" t="inlineStr">
        <is>
          <t>2026-03-10</t>
        </is>
      </c>
      <c r="B13" s="3" t="inlineStr">
        <is>
          <t>Operations</t>
        </is>
      </c>
      <c r="C13" s="3" t="inlineStr">
        <is>
          <t>Production</t>
        </is>
      </c>
      <c r="D13" s="3" t="n">
        <v>130</v>
      </c>
      <c r="E13" s="3" t="n">
        <v>520000</v>
      </c>
      <c r="F13" s="3" t="n">
        <v>348000</v>
      </c>
      <c r="G13" s="3" t="n">
        <v>2.9</v>
      </c>
      <c r="H13" s="3" t="n">
        <v>121</v>
      </c>
      <c r="I13" s="3" t="n">
        <v>130</v>
      </c>
      <c r="J13" s="3" t="n">
        <v>5</v>
      </c>
      <c r="K13" s="3" t="n">
        <v>87</v>
      </c>
    </row>
    <row r="14">
      <c r="A14" s="3" t="inlineStr">
        <is>
          <t>2026-03-15</t>
        </is>
      </c>
      <c r="B14" s="3" t="inlineStr">
        <is>
          <t>Operations</t>
        </is>
      </c>
      <c r="C14" s="3" t="inlineStr">
        <is>
          <t>Delivery</t>
        </is>
      </c>
      <c r="D14" s="3" t="n">
        <v>138</v>
      </c>
      <c r="E14" s="3" t="n">
        <v>552000</v>
      </c>
      <c r="F14" s="3" t="n">
        <v>414000</v>
      </c>
      <c r="G14" s="3" t="n">
        <v>2.8</v>
      </c>
      <c r="H14" s="3" t="n">
        <v>128</v>
      </c>
      <c r="I14" s="3" t="n">
        <v>138</v>
      </c>
      <c r="J14" s="3" t="n">
        <v>7</v>
      </c>
      <c r="K14" s="3" t="n">
        <v>87</v>
      </c>
    </row>
    <row r="15">
      <c r="A15" s="3" t="inlineStr">
        <is>
          <t>2026-03-20</t>
        </is>
      </c>
      <c r="B15" s="3" t="inlineStr">
        <is>
          <t>Customer Service</t>
        </is>
      </c>
      <c r="C15" s="3" t="inlineStr">
        <is>
          <t>Customer Support</t>
        </is>
      </c>
      <c r="D15" s="3" t="n">
        <v>102</v>
      </c>
      <c r="E15" s="3" t="n">
        <v>255000</v>
      </c>
      <c r="F15" s="3" t="n">
        <v>128000</v>
      </c>
      <c r="G15" s="3" t="n">
        <v>2</v>
      </c>
      <c r="H15" s="3" t="n">
        <v>94</v>
      </c>
      <c r="I15" s="3" t="n">
        <v>102</v>
      </c>
      <c r="J15" s="3" t="n">
        <v>8</v>
      </c>
      <c r="K15" s="3" t="n">
        <v>91</v>
      </c>
    </row>
    <row r="16">
      <c r="A16" s="3" t="inlineStr">
        <is>
          <t>2026-04-05</t>
        </is>
      </c>
      <c r="B16" s="3" t="inlineStr">
        <is>
          <t>Sales</t>
        </is>
      </c>
      <c r="C16" s="3" t="inlineStr">
        <is>
          <t>Order Management</t>
        </is>
      </c>
      <c r="D16" s="3" t="n">
        <v>155</v>
      </c>
      <c r="E16" s="3" t="n">
        <v>465000</v>
      </c>
      <c r="F16" s="3" t="n">
        <v>308000</v>
      </c>
      <c r="G16" s="3" t="n">
        <v>2.1</v>
      </c>
      <c r="H16" s="3" t="n">
        <v>147</v>
      </c>
      <c r="I16" s="3" t="n">
        <v>155</v>
      </c>
      <c r="J16" s="3" t="n">
        <v>6</v>
      </c>
      <c r="K16" s="3" t="n">
        <v>90</v>
      </c>
    </row>
    <row r="17">
      <c r="A17" s="3" t="inlineStr">
        <is>
          <t>2026-04-10</t>
        </is>
      </c>
      <c r="B17" s="3" t="inlineStr">
        <is>
          <t>Operations</t>
        </is>
      </c>
      <c r="C17" s="3" t="inlineStr">
        <is>
          <t>Production</t>
        </is>
      </c>
      <c r="D17" s="3" t="n">
        <v>142</v>
      </c>
      <c r="E17" s="3" t="n">
        <v>568000</v>
      </c>
      <c r="F17" s="3" t="n">
        <v>381000</v>
      </c>
      <c r="G17" s="3" t="n">
        <v>3</v>
      </c>
      <c r="H17" s="3" t="n">
        <v>132</v>
      </c>
      <c r="I17" s="3" t="n">
        <v>142</v>
      </c>
      <c r="J17" s="3" t="n">
        <v>6</v>
      </c>
      <c r="K17" s="3" t="n">
        <v>88</v>
      </c>
    </row>
    <row r="18">
      <c r="A18" s="3" t="inlineStr">
        <is>
          <t>2026-04-15</t>
        </is>
      </c>
      <c r="B18" s="3" t="inlineStr">
        <is>
          <t>Operations</t>
        </is>
      </c>
      <c r="C18" s="3" t="inlineStr">
        <is>
          <t>Delivery</t>
        </is>
      </c>
      <c r="D18" s="3" t="n">
        <v>150</v>
      </c>
      <c r="E18" s="3" t="n">
        <v>600000</v>
      </c>
      <c r="F18" s="3" t="n">
        <v>450000</v>
      </c>
      <c r="G18" s="3" t="n">
        <v>2.9</v>
      </c>
      <c r="H18" s="3" t="n">
        <v>139</v>
      </c>
      <c r="I18" s="3" t="n">
        <v>150</v>
      </c>
      <c r="J18" s="3" t="n">
        <v>8</v>
      </c>
      <c r="K18" s="3" t="n">
        <v>88</v>
      </c>
    </row>
    <row r="19">
      <c r="A19" s="3" t="inlineStr">
        <is>
          <t>2026-04-20</t>
        </is>
      </c>
      <c r="B19" s="3" t="inlineStr">
        <is>
          <t>Customer Service</t>
        </is>
      </c>
      <c r="C19" s="3" t="inlineStr">
        <is>
          <t>Customer Support</t>
        </is>
      </c>
      <c r="D19" s="3" t="n">
        <v>110</v>
      </c>
      <c r="E19" s="3" t="n">
        <v>275000</v>
      </c>
      <c r="F19" s="3" t="n">
        <v>138000</v>
      </c>
      <c r="G19" s="3" t="n">
        <v>2.1</v>
      </c>
      <c r="H19" s="3" t="n">
        <v>102</v>
      </c>
      <c r="I19" s="3" t="n">
        <v>110</v>
      </c>
      <c r="J19" s="3" t="n">
        <v>8</v>
      </c>
      <c r="K19" s="3" t="n">
        <v>92</v>
      </c>
    </row>
    <row r="20">
      <c r="A20" s="3" t="inlineStr">
        <is>
          <t>2026-05-05</t>
        </is>
      </c>
      <c r="B20" s="3" t="inlineStr">
        <is>
          <t>Sales</t>
        </is>
      </c>
      <c r="C20" s="3" t="inlineStr">
        <is>
          <t>Order Management</t>
        </is>
      </c>
      <c r="D20" s="3" t="n">
        <v>165</v>
      </c>
      <c r="E20" s="3" t="n">
        <v>495000</v>
      </c>
      <c r="F20" s="3" t="n">
        <v>327000</v>
      </c>
      <c r="G20" s="3" t="n">
        <v>2.3</v>
      </c>
      <c r="H20" s="3" t="n">
        <v>156</v>
      </c>
      <c r="I20" s="3" t="n">
        <v>165</v>
      </c>
      <c r="J20" s="3" t="n">
        <v>7</v>
      </c>
      <c r="K20" s="3" t="n">
        <v>90</v>
      </c>
    </row>
    <row r="21">
      <c r="A21" s="3" t="inlineStr">
        <is>
          <t>2026-05-10</t>
        </is>
      </c>
      <c r="B21" s="3" t="inlineStr">
        <is>
          <t>Operations</t>
        </is>
      </c>
      <c r="C21" s="3" t="inlineStr">
        <is>
          <t>Production</t>
        </is>
      </c>
      <c r="D21" s="3" t="n">
        <v>150</v>
      </c>
      <c r="E21" s="3" t="n">
        <v>600000</v>
      </c>
      <c r="F21" s="3" t="n">
        <v>402000</v>
      </c>
      <c r="G21" s="3" t="n">
        <v>3.1</v>
      </c>
      <c r="H21" s="3" t="n">
        <v>139</v>
      </c>
      <c r="I21" s="3" t="n">
        <v>150</v>
      </c>
      <c r="J21" s="3" t="n">
        <v>6</v>
      </c>
      <c r="K21" s="3" t="n">
        <v>88</v>
      </c>
    </row>
    <row r="22">
      <c r="A22" s="3" t="inlineStr">
        <is>
          <t>2026-05-15</t>
        </is>
      </c>
      <c r="B22" s="3" t="inlineStr">
        <is>
          <t>Operations</t>
        </is>
      </c>
      <c r="C22" s="3" t="inlineStr">
        <is>
          <t>Delivery</t>
        </is>
      </c>
      <c r="D22" s="3" t="n">
        <v>160</v>
      </c>
      <c r="E22" s="3" t="n">
        <v>640000</v>
      </c>
      <c r="F22" s="3" t="n">
        <v>480000</v>
      </c>
      <c r="G22" s="3" t="n">
        <v>3</v>
      </c>
      <c r="H22" s="3" t="n">
        <v>147</v>
      </c>
      <c r="I22" s="3" t="n">
        <v>160</v>
      </c>
      <c r="J22" s="3" t="n">
        <v>9</v>
      </c>
      <c r="K22" s="3" t="n">
        <v>87</v>
      </c>
    </row>
    <row r="23">
      <c r="A23" s="3" t="inlineStr">
        <is>
          <t>2026-05-20</t>
        </is>
      </c>
      <c r="B23" s="3" t="inlineStr">
        <is>
          <t>Customer Service</t>
        </is>
      </c>
      <c r="C23" s="3" t="inlineStr">
        <is>
          <t>Customer Support</t>
        </is>
      </c>
      <c r="D23" s="3" t="n">
        <v>118</v>
      </c>
      <c r="E23" s="3" t="n">
        <v>295000</v>
      </c>
      <c r="F23" s="3" t="n">
        <v>148000</v>
      </c>
      <c r="G23" s="3" t="n">
        <v>2.2</v>
      </c>
      <c r="H23" s="3" t="n">
        <v>109</v>
      </c>
      <c r="I23" s="3" t="n">
        <v>118</v>
      </c>
      <c r="J23" s="3" t="n">
        <v>9</v>
      </c>
      <c r="K23" s="3" t="n">
        <v>92</v>
      </c>
    </row>
    <row r="24">
      <c r="A24" s="3" t="inlineStr">
        <is>
          <t>2026-06-05</t>
        </is>
      </c>
      <c r="B24" s="3" t="inlineStr">
        <is>
          <t>Sales</t>
        </is>
      </c>
      <c r="C24" s="3" t="inlineStr">
        <is>
          <t>Order Management</t>
        </is>
      </c>
      <c r="D24" s="3" t="n">
        <v>175</v>
      </c>
      <c r="E24" s="3" t="n">
        <v>525000</v>
      </c>
      <c r="F24" s="3" t="n">
        <v>347000</v>
      </c>
      <c r="G24" s="3" t="n">
        <v>2.2</v>
      </c>
      <c r="H24" s="3" t="n">
        <v>167</v>
      </c>
      <c r="I24" s="3" t="n">
        <v>175</v>
      </c>
      <c r="J24" s="3" t="n">
        <v>7</v>
      </c>
      <c r="K24" s="3" t="n">
        <v>91</v>
      </c>
    </row>
    <row r="25">
      <c r="A25" s="3" t="inlineStr">
        <is>
          <t>2026-06-10</t>
        </is>
      </c>
      <c r="B25" s="3" t="inlineStr">
        <is>
          <t>Operations</t>
        </is>
      </c>
      <c r="C25" s="3" t="inlineStr">
        <is>
          <t>Production</t>
        </is>
      </c>
      <c r="D25" s="3" t="n">
        <v>158</v>
      </c>
      <c r="E25" s="3" t="n">
        <v>632000</v>
      </c>
      <c r="F25" s="3" t="n">
        <v>423000</v>
      </c>
      <c r="G25" s="3" t="n">
        <v>3.2</v>
      </c>
      <c r="H25" s="3" t="n">
        <v>146</v>
      </c>
      <c r="I25" s="3" t="n">
        <v>158</v>
      </c>
      <c r="J25" s="3" t="n">
        <v>7</v>
      </c>
      <c r="K25" s="3" t="n">
        <v>89</v>
      </c>
    </row>
    <row r="26">
      <c r="A26" s="3" t="inlineStr">
        <is>
          <t>2026-06-15</t>
        </is>
      </c>
      <c r="B26" s="3" t="inlineStr">
        <is>
          <t>Operations</t>
        </is>
      </c>
      <c r="C26" s="3" t="inlineStr">
        <is>
          <t>Delivery</t>
        </is>
      </c>
      <c r="D26" s="3" t="n">
        <v>170</v>
      </c>
      <c r="E26" s="3" t="n">
        <v>680000</v>
      </c>
      <c r="F26" s="3" t="n">
        <v>510000</v>
      </c>
      <c r="G26" s="3" t="n">
        <v>3.1</v>
      </c>
      <c r="H26" s="3" t="n">
        <v>156</v>
      </c>
      <c r="I26" s="3" t="n">
        <v>170</v>
      </c>
      <c r="J26" s="3" t="n">
        <v>10</v>
      </c>
      <c r="K26" s="3" t="n">
        <v>88</v>
      </c>
    </row>
    <row r="27">
      <c r="A27" s="3" t="inlineStr">
        <is>
          <t>2026-06-20</t>
        </is>
      </c>
      <c r="B27" s="3" t="inlineStr">
        <is>
          <t>Customer Service</t>
        </is>
      </c>
      <c r="C27" s="3" t="inlineStr">
        <is>
          <t>Customer Support</t>
        </is>
      </c>
      <c r="D27" s="3" t="n">
        <v>125</v>
      </c>
      <c r="E27" s="3" t="n">
        <v>312500</v>
      </c>
      <c r="F27" s="3" t="n">
        <v>157000</v>
      </c>
      <c r="G27" s="3" t="n">
        <v>2.3</v>
      </c>
      <c r="H27" s="3" t="n">
        <v>116</v>
      </c>
      <c r="I27" s="3" t="n">
        <v>125</v>
      </c>
      <c r="J27" s="3" t="n">
        <v>9</v>
      </c>
      <c r="K27" s="3" t="n">
        <v>93</v>
      </c>
    </row>
  </sheetData>
  <autoFilter ref="A3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2" customWidth="1" min="4" max="4"/>
    <col width="18" customWidth="1" min="5" max="5"/>
    <col width="16" customWidth="1" min="6" max="6"/>
    <col width="16" customWidth="1" min="7" max="7"/>
    <col width="20" customWidth="1" min="8" max="8"/>
    <col width="14" customWidth="1" min="9" max="9"/>
    <col width="18" customWidth="1" min="10" max="10"/>
    <col width="25" customWidth="1" min="11" max="11"/>
    <col width="18" customWidth="1" min="12" max="12"/>
    <col width="20" customWidth="1" min="13" max="13"/>
    <col width="18" customWidth="1" min="14" max="14"/>
    <col width="18" customWidth="1" min="15" max="15"/>
    <col width="16" customWidth="1" min="16" max="16"/>
  </cols>
  <sheetData>
    <row r="1">
      <c r="A1" s="2" t="inlineStr">
        <is>
          <t>Date</t>
        </is>
      </c>
      <c r="B1" s="2" t="inlineStr">
        <is>
          <t>Business_Function</t>
        </is>
      </c>
      <c r="C1" s="2" t="inlineStr">
        <is>
          <t>Process</t>
        </is>
      </c>
      <c r="D1" s="2" t="inlineStr">
        <is>
          <t>Orders</t>
        </is>
      </c>
      <c r="E1" s="2" t="inlineStr">
        <is>
          <t>Revenue_Rupee</t>
        </is>
      </c>
      <c r="F1" s="2" t="inlineStr">
        <is>
          <t>Cost_Rupee</t>
        </is>
      </c>
      <c r="G1" s="2" t="inlineStr">
        <is>
          <t>Delivery_Days</t>
        </is>
      </c>
      <c r="H1" s="2" t="inlineStr">
        <is>
          <t>On_Time_Deliveries</t>
        </is>
      </c>
      <c r="I1" s="2" t="inlineStr">
        <is>
          <t>Deliveries</t>
        </is>
      </c>
      <c r="J1" s="2" t="inlineStr">
        <is>
          <t>Returned_Orders</t>
        </is>
      </c>
      <c r="K1" s="2" t="inlineStr">
        <is>
          <t>Customer_Satisfaction_%</t>
        </is>
      </c>
      <c r="L1" s="2" t="inlineStr">
        <is>
          <t>Profit_Rupee</t>
        </is>
      </c>
      <c r="M1" s="2" t="inlineStr">
        <is>
          <t>Average_Order_Value</t>
        </is>
      </c>
      <c r="N1" s="2" t="inlineStr">
        <is>
          <t>Cost_Per_Order</t>
        </is>
      </c>
      <c r="O1" s="2" t="inlineStr">
        <is>
          <t>On_Time_Rate_%</t>
        </is>
      </c>
      <c r="P1" s="2" t="inlineStr">
        <is>
          <t>Return_Rate_%</t>
        </is>
      </c>
    </row>
    <row r="2">
      <c r="A2" s="3" t="inlineStr">
        <is>
          <t>2026-01-05</t>
        </is>
      </c>
      <c r="B2" s="3" t="inlineStr">
        <is>
          <t>Sales</t>
        </is>
      </c>
      <c r="C2" s="3" t="inlineStr">
        <is>
          <t>Order Management</t>
        </is>
      </c>
      <c r="D2" s="3" t="n">
        <v>120</v>
      </c>
      <c r="E2" s="3" t="n">
        <v>360000</v>
      </c>
      <c r="F2" s="3" t="n">
        <v>240000</v>
      </c>
      <c r="G2" s="3" t="n">
        <v>2.1</v>
      </c>
      <c r="H2" s="3" t="n">
        <v>114</v>
      </c>
      <c r="I2" s="3" t="n">
        <v>120</v>
      </c>
      <c r="J2" s="3" t="n">
        <v>5</v>
      </c>
      <c r="K2" s="3" t="n">
        <v>88</v>
      </c>
      <c r="L2" s="3">
        <f>E4-F4</f>
        <v/>
      </c>
      <c r="M2" s="3">
        <f>E4/D4</f>
        <v/>
      </c>
      <c r="N2" s="3">
        <f>F4/D4</f>
        <v/>
      </c>
      <c r="O2" s="3">
        <f>H4/I4*100</f>
        <v/>
      </c>
      <c r="P2" s="3">
        <f>J4/D4*100</f>
        <v/>
      </c>
    </row>
    <row r="3">
      <c r="A3" s="3" t="inlineStr">
        <is>
          <t>2026-01-10</t>
        </is>
      </c>
      <c r="B3" s="3" t="inlineStr">
        <is>
          <t>Operations</t>
        </is>
      </c>
      <c r="C3" s="3" t="inlineStr">
        <is>
          <t>Production</t>
        </is>
      </c>
      <c r="D3" s="3" t="n">
        <v>105</v>
      </c>
      <c r="E3" s="3" t="n">
        <v>420000</v>
      </c>
      <c r="F3" s="3" t="n">
        <v>280000</v>
      </c>
      <c r="G3" s="3" t="n">
        <v>2.7</v>
      </c>
      <c r="H3" s="3" t="n">
        <v>98</v>
      </c>
      <c r="I3" s="3" t="n">
        <v>105</v>
      </c>
      <c r="J3" s="3" t="n">
        <v>4</v>
      </c>
      <c r="K3" s="3" t="n">
        <v>86</v>
      </c>
      <c r="L3" s="3">
        <f>E5-F5</f>
        <v/>
      </c>
      <c r="M3" s="3">
        <f>E5/D5</f>
        <v/>
      </c>
      <c r="N3" s="3">
        <f>F5/D5</f>
        <v/>
      </c>
      <c r="O3" s="3">
        <f>H5/I5*100</f>
        <v/>
      </c>
      <c r="P3" s="3">
        <f>J5/D5*100</f>
        <v/>
      </c>
    </row>
    <row r="4">
      <c r="A4" s="3" t="inlineStr">
        <is>
          <t>2026-01-15</t>
        </is>
      </c>
      <c r="B4" s="3" t="inlineStr">
        <is>
          <t>Operations</t>
        </is>
      </c>
      <c r="C4" s="3" t="inlineStr">
        <is>
          <t>Delivery</t>
        </is>
      </c>
      <c r="D4" s="3" t="n">
        <v>110</v>
      </c>
      <c r="E4" s="3" t="n">
        <v>440000</v>
      </c>
      <c r="F4" s="3" t="n">
        <v>330000</v>
      </c>
      <c r="G4" s="3" t="n">
        <v>2.6</v>
      </c>
      <c r="H4" s="3" t="n">
        <v>101</v>
      </c>
      <c r="I4" s="3" t="n">
        <v>110</v>
      </c>
      <c r="J4" s="3" t="n">
        <v>6</v>
      </c>
      <c r="K4" s="3" t="n">
        <v>87</v>
      </c>
      <c r="L4" s="3">
        <f>E6-F6</f>
        <v/>
      </c>
      <c r="M4" s="3">
        <f>E6/D6</f>
        <v/>
      </c>
      <c r="N4" s="3">
        <f>F6/D6</f>
        <v/>
      </c>
      <c r="O4" s="3">
        <f>H6/I6*100</f>
        <v/>
      </c>
      <c r="P4" s="3">
        <f>J6/D6*100</f>
        <v/>
      </c>
    </row>
    <row r="5">
      <c r="A5" s="3" t="inlineStr">
        <is>
          <t>2026-01-20</t>
        </is>
      </c>
      <c r="B5" s="3" t="inlineStr">
        <is>
          <t>Customer Service</t>
        </is>
      </c>
      <c r="C5" s="3" t="inlineStr">
        <is>
          <t>Customer Support</t>
        </is>
      </c>
      <c r="D5" s="3" t="n">
        <v>90</v>
      </c>
      <c r="E5" s="3" t="n">
        <v>225000</v>
      </c>
      <c r="F5" s="3" t="n">
        <v>112000</v>
      </c>
      <c r="G5" s="3" t="n">
        <v>1.8</v>
      </c>
      <c r="H5" s="3" t="n">
        <v>84</v>
      </c>
      <c r="I5" s="3" t="n">
        <v>90</v>
      </c>
      <c r="J5" s="3" t="n">
        <v>7</v>
      </c>
      <c r="K5" s="3" t="n">
        <v>90</v>
      </c>
      <c r="L5" s="3">
        <f>E7-F7</f>
        <v/>
      </c>
      <c r="M5" s="3">
        <f>E7/D7</f>
        <v/>
      </c>
      <c r="N5" s="3">
        <f>F7/D7</f>
        <v/>
      </c>
      <c r="O5" s="3">
        <f>H7/I7*100</f>
        <v/>
      </c>
      <c r="P5" s="3">
        <f>J7/D7*100</f>
        <v/>
      </c>
    </row>
    <row r="6">
      <c r="A6" s="3" t="inlineStr">
        <is>
          <t>2026-02-05</t>
        </is>
      </c>
      <c r="B6" s="3" t="inlineStr">
        <is>
          <t>Sales</t>
        </is>
      </c>
      <c r="C6" s="3" t="inlineStr">
        <is>
          <t>Order Management</t>
        </is>
      </c>
      <c r="D6" s="3" t="n">
        <v>135</v>
      </c>
      <c r="E6" s="3" t="n">
        <v>405000</v>
      </c>
      <c r="F6" s="3" t="n">
        <v>268000</v>
      </c>
      <c r="G6" s="3" t="n">
        <v>2</v>
      </c>
      <c r="H6" s="3" t="n">
        <v>129</v>
      </c>
      <c r="I6" s="3" t="n">
        <v>135</v>
      </c>
      <c r="J6" s="3" t="n">
        <v>5</v>
      </c>
      <c r="K6" s="3" t="n">
        <v>89</v>
      </c>
      <c r="L6" s="3">
        <f>E8-F8</f>
        <v/>
      </c>
      <c r="M6" s="3">
        <f>E8/D8</f>
        <v/>
      </c>
      <c r="N6" s="3">
        <f>F8/D8</f>
        <v/>
      </c>
      <c r="O6" s="3">
        <f>H8/I8*100</f>
        <v/>
      </c>
      <c r="P6" s="3">
        <f>J8/D8*100</f>
        <v/>
      </c>
    </row>
    <row r="7">
      <c r="A7" s="3" t="inlineStr">
        <is>
          <t>2026-02-10</t>
        </is>
      </c>
      <c r="B7" s="3" t="inlineStr">
        <is>
          <t>Operations</t>
        </is>
      </c>
      <c r="C7" s="3" t="inlineStr">
        <is>
          <t>Production</t>
        </is>
      </c>
      <c r="D7" s="3" t="n">
        <v>118</v>
      </c>
      <c r="E7" s="3" t="n">
        <v>472000</v>
      </c>
      <c r="F7" s="3" t="n">
        <v>315000</v>
      </c>
      <c r="G7" s="3" t="n">
        <v>2.6</v>
      </c>
      <c r="H7" s="3" t="n">
        <v>111</v>
      </c>
      <c r="I7" s="3" t="n">
        <v>118</v>
      </c>
      <c r="J7" s="3" t="n">
        <v>4</v>
      </c>
      <c r="K7" s="3" t="n">
        <v>87</v>
      </c>
      <c r="L7" s="3">
        <f>E9-F9</f>
        <v/>
      </c>
      <c r="M7" s="3">
        <f>E9/D9</f>
        <v/>
      </c>
      <c r="N7" s="3">
        <f>F9/D9</f>
        <v/>
      </c>
      <c r="O7" s="3">
        <f>H9/I9*100</f>
        <v/>
      </c>
      <c r="P7" s="3">
        <f>J9/D9*100</f>
        <v/>
      </c>
    </row>
    <row r="8">
      <c r="A8" s="3" t="inlineStr">
        <is>
          <t>2026-02-15</t>
        </is>
      </c>
      <c r="B8" s="3" t="inlineStr">
        <is>
          <t>Operations</t>
        </is>
      </c>
      <c r="C8" s="3" t="inlineStr">
        <is>
          <t>Delivery</t>
        </is>
      </c>
      <c r="D8" s="3" t="n">
        <v>125</v>
      </c>
      <c r="E8" s="3" t="n">
        <v>500000</v>
      </c>
      <c r="F8" s="3" t="n">
        <v>375000</v>
      </c>
      <c r="G8" s="3" t="n">
        <v>2.5</v>
      </c>
      <c r="H8" s="3" t="n">
        <v>117</v>
      </c>
      <c r="I8" s="3" t="n">
        <v>125</v>
      </c>
      <c r="J8" s="3" t="n">
        <v>6</v>
      </c>
      <c r="K8" s="3" t="n">
        <v>88</v>
      </c>
      <c r="L8" s="3">
        <f>E10-F10</f>
        <v/>
      </c>
      <c r="M8" s="3">
        <f>E10/D10</f>
        <v/>
      </c>
      <c r="N8" s="3">
        <f>F10/D10</f>
        <v/>
      </c>
      <c r="O8" s="3">
        <f>H10/I10*100</f>
        <v/>
      </c>
      <c r="P8" s="3">
        <f>J10/D10*100</f>
        <v/>
      </c>
    </row>
    <row r="9">
      <c r="A9" s="3" t="inlineStr">
        <is>
          <t>2026-02-20</t>
        </is>
      </c>
      <c r="B9" s="3" t="inlineStr">
        <is>
          <t>Customer Service</t>
        </is>
      </c>
      <c r="C9" s="3" t="inlineStr">
        <is>
          <t>Customer Support</t>
        </is>
      </c>
      <c r="D9" s="3" t="n">
        <v>96</v>
      </c>
      <c r="E9" s="3" t="n">
        <v>240000</v>
      </c>
      <c r="F9" s="3" t="n">
        <v>120000</v>
      </c>
      <c r="G9" s="3" t="n">
        <v>1.9</v>
      </c>
      <c r="H9" s="3" t="n">
        <v>90</v>
      </c>
      <c r="I9" s="3" t="n">
        <v>96</v>
      </c>
      <c r="J9" s="3" t="n">
        <v>7</v>
      </c>
      <c r="K9" s="3" t="n">
        <v>91</v>
      </c>
      <c r="L9" s="3">
        <f>E11-F11</f>
        <v/>
      </c>
      <c r="M9" s="3">
        <f>E11/D11</f>
        <v/>
      </c>
      <c r="N9" s="3">
        <f>F11/D11</f>
        <v/>
      </c>
      <c r="O9" s="3">
        <f>H11/I11*100</f>
        <v/>
      </c>
      <c r="P9" s="3">
        <f>J11/D11*100</f>
        <v/>
      </c>
    </row>
    <row r="10">
      <c r="A10" s="3" t="inlineStr">
        <is>
          <t>2026-03-05</t>
        </is>
      </c>
      <c r="B10" s="3" t="inlineStr">
        <is>
          <t>Sales</t>
        </is>
      </c>
      <c r="C10" s="3" t="inlineStr">
        <is>
          <t>Order Management</t>
        </is>
      </c>
      <c r="D10" s="3" t="n">
        <v>148</v>
      </c>
      <c r="E10" s="3" t="n">
        <v>444000</v>
      </c>
      <c r="F10" s="3" t="n">
        <v>294000</v>
      </c>
      <c r="G10" s="3" t="n">
        <v>2.2</v>
      </c>
      <c r="H10" s="3" t="n">
        <v>139</v>
      </c>
      <c r="I10" s="3" t="n">
        <v>148</v>
      </c>
      <c r="J10" s="3" t="n">
        <v>6</v>
      </c>
      <c r="K10" s="3" t="n">
        <v>89</v>
      </c>
      <c r="L10" s="3">
        <f>E12-F12</f>
        <v/>
      </c>
      <c r="M10" s="3">
        <f>E12/D12</f>
        <v/>
      </c>
      <c r="N10" s="3">
        <f>F12/D12</f>
        <v/>
      </c>
      <c r="O10" s="3">
        <f>H12/I12*100</f>
        <v/>
      </c>
      <c r="P10" s="3">
        <f>J12/D12*100</f>
        <v/>
      </c>
    </row>
    <row r="11">
      <c r="A11" s="3" t="inlineStr">
        <is>
          <t>2026-03-10</t>
        </is>
      </c>
      <c r="B11" s="3" t="inlineStr">
        <is>
          <t>Operations</t>
        </is>
      </c>
      <c r="C11" s="3" t="inlineStr">
        <is>
          <t>Production</t>
        </is>
      </c>
      <c r="D11" s="3" t="n">
        <v>130</v>
      </c>
      <c r="E11" s="3" t="n">
        <v>520000</v>
      </c>
      <c r="F11" s="3" t="n">
        <v>348000</v>
      </c>
      <c r="G11" s="3" t="n">
        <v>2.9</v>
      </c>
      <c r="H11" s="3" t="n">
        <v>121</v>
      </c>
      <c r="I11" s="3" t="n">
        <v>130</v>
      </c>
      <c r="J11" s="3" t="n">
        <v>5</v>
      </c>
      <c r="K11" s="3" t="n">
        <v>87</v>
      </c>
      <c r="L11" s="3">
        <f>E13-F13</f>
        <v/>
      </c>
      <c r="M11" s="3">
        <f>E13/D13</f>
        <v/>
      </c>
      <c r="N11" s="3">
        <f>F13/D13</f>
        <v/>
      </c>
      <c r="O11" s="3">
        <f>H13/I13*100</f>
        <v/>
      </c>
      <c r="P11" s="3">
        <f>J13/D13*100</f>
        <v/>
      </c>
    </row>
    <row r="12">
      <c r="A12" s="3" t="inlineStr">
        <is>
          <t>2026-03-15</t>
        </is>
      </c>
      <c r="B12" s="3" t="inlineStr">
        <is>
          <t>Operations</t>
        </is>
      </c>
      <c r="C12" s="3" t="inlineStr">
        <is>
          <t>Delivery</t>
        </is>
      </c>
      <c r="D12" s="3" t="n">
        <v>138</v>
      </c>
      <c r="E12" s="3" t="n">
        <v>552000</v>
      </c>
      <c r="F12" s="3" t="n">
        <v>414000</v>
      </c>
      <c r="G12" s="3" t="n">
        <v>2.8</v>
      </c>
      <c r="H12" s="3" t="n">
        <v>128</v>
      </c>
      <c r="I12" s="3" t="n">
        <v>138</v>
      </c>
      <c r="J12" s="3" t="n">
        <v>7</v>
      </c>
      <c r="K12" s="3" t="n">
        <v>87</v>
      </c>
      <c r="L12" s="3">
        <f>E14-F14</f>
        <v/>
      </c>
      <c r="M12" s="3">
        <f>E14/D14</f>
        <v/>
      </c>
      <c r="N12" s="3">
        <f>F14/D14</f>
        <v/>
      </c>
      <c r="O12" s="3">
        <f>H14/I14*100</f>
        <v/>
      </c>
      <c r="P12" s="3">
        <f>J14/D14*100</f>
        <v/>
      </c>
    </row>
    <row r="13">
      <c r="A13" s="3" t="inlineStr">
        <is>
          <t>2026-03-20</t>
        </is>
      </c>
      <c r="B13" s="3" t="inlineStr">
        <is>
          <t>Customer Service</t>
        </is>
      </c>
      <c r="C13" s="3" t="inlineStr">
        <is>
          <t>Customer Support</t>
        </is>
      </c>
      <c r="D13" s="3" t="n">
        <v>102</v>
      </c>
      <c r="E13" s="3" t="n">
        <v>255000</v>
      </c>
      <c r="F13" s="3" t="n">
        <v>128000</v>
      </c>
      <c r="G13" s="3" t="n">
        <v>2</v>
      </c>
      <c r="H13" s="3" t="n">
        <v>94</v>
      </c>
      <c r="I13" s="3" t="n">
        <v>102</v>
      </c>
      <c r="J13" s="3" t="n">
        <v>8</v>
      </c>
      <c r="K13" s="3" t="n">
        <v>91</v>
      </c>
      <c r="L13" s="3">
        <f>E15-F15</f>
        <v/>
      </c>
      <c r="M13" s="3">
        <f>E15/D15</f>
        <v/>
      </c>
      <c r="N13" s="3">
        <f>F15/D15</f>
        <v/>
      </c>
      <c r="O13" s="3">
        <f>H15/I15*100</f>
        <v/>
      </c>
      <c r="P13" s="3">
        <f>J15/D15*100</f>
        <v/>
      </c>
    </row>
    <row r="14">
      <c r="A14" s="3" t="inlineStr">
        <is>
          <t>2026-04-05</t>
        </is>
      </c>
      <c r="B14" s="3" t="inlineStr">
        <is>
          <t>Sales</t>
        </is>
      </c>
      <c r="C14" s="3" t="inlineStr">
        <is>
          <t>Order Management</t>
        </is>
      </c>
      <c r="D14" s="3" t="n">
        <v>155</v>
      </c>
      <c r="E14" s="3" t="n">
        <v>465000</v>
      </c>
      <c r="F14" s="3" t="n">
        <v>308000</v>
      </c>
      <c r="G14" s="3" t="n">
        <v>2.1</v>
      </c>
      <c r="H14" s="3" t="n">
        <v>147</v>
      </c>
      <c r="I14" s="3" t="n">
        <v>155</v>
      </c>
      <c r="J14" s="3" t="n">
        <v>6</v>
      </c>
      <c r="K14" s="3" t="n">
        <v>90</v>
      </c>
      <c r="L14" s="3">
        <f>E16-F16</f>
        <v/>
      </c>
      <c r="M14" s="3">
        <f>E16/D16</f>
        <v/>
      </c>
      <c r="N14" s="3">
        <f>F16/D16</f>
        <v/>
      </c>
      <c r="O14" s="3">
        <f>H16/I16*100</f>
        <v/>
      </c>
      <c r="P14" s="3">
        <f>J16/D16*100</f>
        <v/>
      </c>
    </row>
    <row r="15">
      <c r="A15" s="3" t="inlineStr">
        <is>
          <t>2026-04-10</t>
        </is>
      </c>
      <c r="B15" s="3" t="inlineStr">
        <is>
          <t>Operations</t>
        </is>
      </c>
      <c r="C15" s="3" t="inlineStr">
        <is>
          <t>Production</t>
        </is>
      </c>
      <c r="D15" s="3" t="n">
        <v>142</v>
      </c>
      <c r="E15" s="3" t="n">
        <v>568000</v>
      </c>
      <c r="F15" s="3" t="n">
        <v>381000</v>
      </c>
      <c r="G15" s="3" t="n">
        <v>3</v>
      </c>
      <c r="H15" s="3" t="n">
        <v>132</v>
      </c>
      <c r="I15" s="3" t="n">
        <v>142</v>
      </c>
      <c r="J15" s="3" t="n">
        <v>6</v>
      </c>
      <c r="K15" s="3" t="n">
        <v>88</v>
      </c>
      <c r="L15" s="3">
        <f>E17-F17</f>
        <v/>
      </c>
      <c r="M15" s="3">
        <f>E17/D17</f>
        <v/>
      </c>
      <c r="N15" s="3">
        <f>F17/D17</f>
        <v/>
      </c>
      <c r="O15" s="3">
        <f>H17/I17*100</f>
        <v/>
      </c>
      <c r="P15" s="3">
        <f>J17/D17*100</f>
        <v/>
      </c>
    </row>
    <row r="16">
      <c r="A16" s="3" t="inlineStr">
        <is>
          <t>2026-04-15</t>
        </is>
      </c>
      <c r="B16" s="3" t="inlineStr">
        <is>
          <t>Operations</t>
        </is>
      </c>
      <c r="C16" s="3" t="inlineStr">
        <is>
          <t>Delivery</t>
        </is>
      </c>
      <c r="D16" s="3" t="n">
        <v>150</v>
      </c>
      <c r="E16" s="3" t="n">
        <v>600000</v>
      </c>
      <c r="F16" s="3" t="n">
        <v>450000</v>
      </c>
      <c r="G16" s="3" t="n">
        <v>2.9</v>
      </c>
      <c r="H16" s="3" t="n">
        <v>139</v>
      </c>
      <c r="I16" s="3" t="n">
        <v>150</v>
      </c>
      <c r="J16" s="3" t="n">
        <v>8</v>
      </c>
      <c r="K16" s="3" t="n">
        <v>88</v>
      </c>
      <c r="L16" s="3">
        <f>E18-F18</f>
        <v/>
      </c>
      <c r="M16" s="3">
        <f>E18/D18</f>
        <v/>
      </c>
      <c r="N16" s="3">
        <f>F18/D18</f>
        <v/>
      </c>
      <c r="O16" s="3">
        <f>H18/I18*100</f>
        <v/>
      </c>
      <c r="P16" s="3">
        <f>J18/D18*100</f>
        <v/>
      </c>
    </row>
    <row r="17">
      <c r="A17" s="3" t="inlineStr">
        <is>
          <t>2026-04-20</t>
        </is>
      </c>
      <c r="B17" s="3" t="inlineStr">
        <is>
          <t>Customer Service</t>
        </is>
      </c>
      <c r="C17" s="3" t="inlineStr">
        <is>
          <t>Customer Support</t>
        </is>
      </c>
      <c r="D17" s="3" t="n">
        <v>110</v>
      </c>
      <c r="E17" s="3" t="n">
        <v>275000</v>
      </c>
      <c r="F17" s="3" t="n">
        <v>138000</v>
      </c>
      <c r="G17" s="3" t="n">
        <v>2.1</v>
      </c>
      <c r="H17" s="3" t="n">
        <v>102</v>
      </c>
      <c r="I17" s="3" t="n">
        <v>110</v>
      </c>
      <c r="J17" s="3" t="n">
        <v>8</v>
      </c>
      <c r="K17" s="3" t="n">
        <v>92</v>
      </c>
      <c r="L17" s="3">
        <f>E19-F19</f>
        <v/>
      </c>
      <c r="M17" s="3">
        <f>E19/D19</f>
        <v/>
      </c>
      <c r="N17" s="3">
        <f>F19/D19</f>
        <v/>
      </c>
      <c r="O17" s="3">
        <f>H19/I19*100</f>
        <v/>
      </c>
      <c r="P17" s="3">
        <f>J19/D19*100</f>
        <v/>
      </c>
    </row>
    <row r="18">
      <c r="A18" s="3" t="inlineStr">
        <is>
          <t>2026-05-05</t>
        </is>
      </c>
      <c r="B18" s="3" t="inlineStr">
        <is>
          <t>Sales</t>
        </is>
      </c>
      <c r="C18" s="3" t="inlineStr">
        <is>
          <t>Order Management</t>
        </is>
      </c>
      <c r="D18" s="3" t="n">
        <v>165</v>
      </c>
      <c r="E18" s="3" t="n">
        <v>495000</v>
      </c>
      <c r="F18" s="3" t="n">
        <v>327000</v>
      </c>
      <c r="G18" s="3" t="n">
        <v>2.3</v>
      </c>
      <c r="H18" s="3" t="n">
        <v>156</v>
      </c>
      <c r="I18" s="3" t="n">
        <v>165</v>
      </c>
      <c r="J18" s="3" t="n">
        <v>7</v>
      </c>
      <c r="K18" s="3" t="n">
        <v>90</v>
      </c>
      <c r="L18" s="3">
        <f>E20-F20</f>
        <v/>
      </c>
      <c r="M18" s="3">
        <f>E20/D20</f>
        <v/>
      </c>
      <c r="N18" s="3">
        <f>F20/D20</f>
        <v/>
      </c>
      <c r="O18" s="3">
        <f>H20/I20*100</f>
        <v/>
      </c>
      <c r="P18" s="3">
        <f>J20/D20*100</f>
        <v/>
      </c>
    </row>
    <row r="19">
      <c r="A19" s="3" t="inlineStr">
        <is>
          <t>2026-05-10</t>
        </is>
      </c>
      <c r="B19" s="3" t="inlineStr">
        <is>
          <t>Operations</t>
        </is>
      </c>
      <c r="C19" s="3" t="inlineStr">
        <is>
          <t>Production</t>
        </is>
      </c>
      <c r="D19" s="3" t="n">
        <v>150</v>
      </c>
      <c r="E19" s="3" t="n">
        <v>600000</v>
      </c>
      <c r="F19" s="3" t="n">
        <v>402000</v>
      </c>
      <c r="G19" s="3" t="n">
        <v>3.1</v>
      </c>
      <c r="H19" s="3" t="n">
        <v>139</v>
      </c>
      <c r="I19" s="3" t="n">
        <v>150</v>
      </c>
      <c r="J19" s="3" t="n">
        <v>6</v>
      </c>
      <c r="K19" s="3" t="n">
        <v>88</v>
      </c>
      <c r="L19" s="3">
        <f>E21-F21</f>
        <v/>
      </c>
      <c r="M19" s="3">
        <f>E21/D21</f>
        <v/>
      </c>
      <c r="N19" s="3">
        <f>F21/D21</f>
        <v/>
      </c>
      <c r="O19" s="3">
        <f>H21/I21*100</f>
        <v/>
      </c>
      <c r="P19" s="3">
        <f>J21/D21*100</f>
        <v/>
      </c>
    </row>
    <row r="20">
      <c r="A20" s="3" t="inlineStr">
        <is>
          <t>2026-05-15</t>
        </is>
      </c>
      <c r="B20" s="3" t="inlineStr">
        <is>
          <t>Operations</t>
        </is>
      </c>
      <c r="C20" s="3" t="inlineStr">
        <is>
          <t>Delivery</t>
        </is>
      </c>
      <c r="D20" s="3" t="n">
        <v>160</v>
      </c>
      <c r="E20" s="3" t="n">
        <v>640000</v>
      </c>
      <c r="F20" s="3" t="n">
        <v>480000</v>
      </c>
      <c r="G20" s="3" t="n">
        <v>3</v>
      </c>
      <c r="H20" s="3" t="n">
        <v>147</v>
      </c>
      <c r="I20" s="3" t="n">
        <v>160</v>
      </c>
      <c r="J20" s="3" t="n">
        <v>9</v>
      </c>
      <c r="K20" s="3" t="n">
        <v>87</v>
      </c>
      <c r="L20" s="3">
        <f>E22-F22</f>
        <v/>
      </c>
      <c r="M20" s="3">
        <f>E22/D22</f>
        <v/>
      </c>
      <c r="N20" s="3">
        <f>F22/D22</f>
        <v/>
      </c>
      <c r="O20" s="3">
        <f>H22/I22*100</f>
        <v/>
      </c>
      <c r="P20" s="3">
        <f>J22/D22*100</f>
        <v/>
      </c>
    </row>
    <row r="21">
      <c r="A21" s="3" t="inlineStr">
        <is>
          <t>2026-05-20</t>
        </is>
      </c>
      <c r="B21" s="3" t="inlineStr">
        <is>
          <t>Customer Service</t>
        </is>
      </c>
      <c r="C21" s="3" t="inlineStr">
        <is>
          <t>Customer Support</t>
        </is>
      </c>
      <c r="D21" s="3" t="n">
        <v>118</v>
      </c>
      <c r="E21" s="3" t="n">
        <v>295000</v>
      </c>
      <c r="F21" s="3" t="n">
        <v>148000</v>
      </c>
      <c r="G21" s="3" t="n">
        <v>2.2</v>
      </c>
      <c r="H21" s="3" t="n">
        <v>109</v>
      </c>
      <c r="I21" s="3" t="n">
        <v>118</v>
      </c>
      <c r="J21" s="3" t="n">
        <v>9</v>
      </c>
      <c r="K21" s="3" t="n">
        <v>92</v>
      </c>
      <c r="L21" s="3">
        <f>E23-F23</f>
        <v/>
      </c>
      <c r="M21" s="3">
        <f>E23/D23</f>
        <v/>
      </c>
      <c r="N21" s="3">
        <f>F23/D23</f>
        <v/>
      </c>
      <c r="O21" s="3">
        <f>H23/I23*100</f>
        <v/>
      </c>
      <c r="P21" s="3">
        <f>J23/D23*100</f>
        <v/>
      </c>
    </row>
    <row r="22">
      <c r="A22" s="3" t="inlineStr">
        <is>
          <t>2026-06-05</t>
        </is>
      </c>
      <c r="B22" s="3" t="inlineStr">
        <is>
          <t>Sales</t>
        </is>
      </c>
      <c r="C22" s="3" t="inlineStr">
        <is>
          <t>Order Management</t>
        </is>
      </c>
      <c r="D22" s="3" t="n">
        <v>175</v>
      </c>
      <c r="E22" s="3" t="n">
        <v>525000</v>
      </c>
      <c r="F22" s="3" t="n">
        <v>347000</v>
      </c>
      <c r="G22" s="3" t="n">
        <v>2.2</v>
      </c>
      <c r="H22" s="3" t="n">
        <v>167</v>
      </c>
      <c r="I22" s="3" t="n">
        <v>175</v>
      </c>
      <c r="J22" s="3" t="n">
        <v>7</v>
      </c>
      <c r="K22" s="3" t="n">
        <v>91</v>
      </c>
      <c r="L22" s="3">
        <f>E24-F24</f>
        <v/>
      </c>
      <c r="M22" s="3">
        <f>E24/D24</f>
        <v/>
      </c>
      <c r="N22" s="3">
        <f>F24/D24</f>
        <v/>
      </c>
      <c r="O22" s="3">
        <f>H24/I24*100</f>
        <v/>
      </c>
      <c r="P22" s="3">
        <f>J24/D24*100</f>
        <v/>
      </c>
    </row>
    <row r="23">
      <c r="A23" s="3" t="inlineStr">
        <is>
          <t>2026-06-10</t>
        </is>
      </c>
      <c r="B23" s="3" t="inlineStr">
        <is>
          <t>Operations</t>
        </is>
      </c>
      <c r="C23" s="3" t="inlineStr">
        <is>
          <t>Production</t>
        </is>
      </c>
      <c r="D23" s="3" t="n">
        <v>158</v>
      </c>
      <c r="E23" s="3" t="n">
        <v>632000</v>
      </c>
      <c r="F23" s="3" t="n">
        <v>423000</v>
      </c>
      <c r="G23" s="3" t="n">
        <v>3.2</v>
      </c>
      <c r="H23" s="3" t="n">
        <v>146</v>
      </c>
      <c r="I23" s="3" t="n">
        <v>158</v>
      </c>
      <c r="J23" s="3" t="n">
        <v>7</v>
      </c>
      <c r="K23" s="3" t="n">
        <v>89</v>
      </c>
      <c r="L23" s="3">
        <f>E25-F25</f>
        <v/>
      </c>
      <c r="M23" s="3">
        <f>E25/D25</f>
        <v/>
      </c>
      <c r="N23" s="3">
        <f>F25/D25</f>
        <v/>
      </c>
      <c r="O23" s="3">
        <f>H25/I25*100</f>
        <v/>
      </c>
      <c r="P23" s="3">
        <f>J25/D25*100</f>
        <v/>
      </c>
    </row>
    <row r="24">
      <c r="A24" s="3" t="inlineStr">
        <is>
          <t>2026-06-15</t>
        </is>
      </c>
      <c r="B24" s="3" t="inlineStr">
        <is>
          <t>Operations</t>
        </is>
      </c>
      <c r="C24" s="3" t="inlineStr">
        <is>
          <t>Delivery</t>
        </is>
      </c>
      <c r="D24" s="3" t="n">
        <v>170</v>
      </c>
      <c r="E24" s="3" t="n">
        <v>680000</v>
      </c>
      <c r="F24" s="3" t="n">
        <v>510000</v>
      </c>
      <c r="G24" s="3" t="n">
        <v>3.1</v>
      </c>
      <c r="H24" s="3" t="n">
        <v>156</v>
      </c>
      <c r="I24" s="3" t="n">
        <v>170</v>
      </c>
      <c r="J24" s="3" t="n">
        <v>10</v>
      </c>
      <c r="K24" s="3" t="n">
        <v>88</v>
      </c>
      <c r="L24" s="3">
        <f>E26-F26</f>
        <v/>
      </c>
      <c r="M24" s="3">
        <f>E26/D26</f>
        <v/>
      </c>
      <c r="N24" s="3">
        <f>F26/D26</f>
        <v/>
      </c>
      <c r="O24" s="3">
        <f>H26/I26*100</f>
        <v/>
      </c>
      <c r="P24" s="3">
        <f>J26/D26*100</f>
        <v/>
      </c>
    </row>
    <row r="25">
      <c r="A25" s="3" t="inlineStr">
        <is>
          <t>2026-06-20</t>
        </is>
      </c>
      <c r="B25" s="3" t="inlineStr">
        <is>
          <t>Customer Service</t>
        </is>
      </c>
      <c r="C25" s="3" t="inlineStr">
        <is>
          <t>Customer Support</t>
        </is>
      </c>
      <c r="D25" s="3" t="n">
        <v>125</v>
      </c>
      <c r="E25" s="3" t="n">
        <v>312500</v>
      </c>
      <c r="F25" s="3" t="n">
        <v>157000</v>
      </c>
      <c r="G25" s="3" t="n">
        <v>2.3</v>
      </c>
      <c r="H25" s="3" t="n">
        <v>116</v>
      </c>
      <c r="I25" s="3" t="n">
        <v>125</v>
      </c>
      <c r="J25" s="3" t="n">
        <v>9</v>
      </c>
      <c r="K25" s="3" t="n">
        <v>93</v>
      </c>
      <c r="L25" s="3">
        <f>E27-F27</f>
        <v/>
      </c>
      <c r="M25" s="3">
        <f>E27/D27</f>
        <v/>
      </c>
      <c r="N25" s="3">
        <f>F27/D27</f>
        <v/>
      </c>
      <c r="O25" s="3">
        <f>H27/I27*100</f>
        <v/>
      </c>
      <c r="P25" s="3">
        <f>J27/D27*100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Business_Function</t>
        </is>
      </c>
      <c r="B1" s="2" t="inlineStr">
        <is>
          <t>Orders</t>
        </is>
      </c>
      <c r="C1" s="2" t="inlineStr">
        <is>
          <t>Revenue_Rupee</t>
        </is>
      </c>
      <c r="D1" s="2" t="inlineStr">
        <is>
          <t>Cost_Rupee</t>
        </is>
      </c>
      <c r="E1" s="2" t="inlineStr">
        <is>
          <t>Profit_Rupee</t>
        </is>
      </c>
      <c r="F1" s="2" t="inlineStr">
        <is>
          <t>Avg_Delivery_Days</t>
        </is>
      </c>
      <c r="G1" s="2" t="inlineStr">
        <is>
          <t>On_Time_Rate_%</t>
        </is>
      </c>
      <c r="H1" s="2" t="inlineStr">
        <is>
          <t>Return_Rate_%</t>
        </is>
      </c>
      <c r="I1" s="2" t="inlineStr">
        <is>
          <t>Customer_Satisfaction_%</t>
        </is>
      </c>
    </row>
    <row r="2">
      <c r="A2" s="3" t="inlineStr">
        <is>
          <t>Customer Service</t>
        </is>
      </c>
      <c r="B2" s="3" t="n">
        <v>641</v>
      </c>
      <c r="C2" s="3" t="n">
        <v>1602500</v>
      </c>
      <c r="D2" s="3" t="n">
        <v>803000</v>
      </c>
      <c r="E2" s="3" t="n">
        <v>799500</v>
      </c>
      <c r="F2" s="3" t="n">
        <v>2.05</v>
      </c>
      <c r="G2" s="3" t="n">
        <v>92.82371294851795</v>
      </c>
      <c r="H2" s="3" t="n">
        <v>7.48829953198128</v>
      </c>
      <c r="I2" s="3" t="n">
        <v>91.5</v>
      </c>
    </row>
    <row r="3">
      <c r="A3" s="3" t="inlineStr">
        <is>
          <t>Operations</t>
        </is>
      </c>
      <c r="B3" s="3" t="n">
        <v>1656</v>
      </c>
      <c r="C3" s="3" t="n">
        <v>6624000</v>
      </c>
      <c r="D3" s="3" t="n">
        <v>4708000</v>
      </c>
      <c r="E3" s="3" t="n">
        <v>1916000</v>
      </c>
      <c r="F3" s="3" t="n">
        <v>2.866666666666667</v>
      </c>
      <c r="G3" s="3" t="n">
        <v>92.69323671497585</v>
      </c>
      <c r="H3" s="3" t="n">
        <v>4.710144927536232</v>
      </c>
      <c r="I3" s="3" t="n">
        <v>87.5</v>
      </c>
    </row>
    <row r="4">
      <c r="A4" s="3" t="inlineStr">
        <is>
          <t>Sales</t>
        </is>
      </c>
      <c r="B4" s="3" t="n">
        <v>898</v>
      </c>
      <c r="C4" s="3" t="n">
        <v>2694000</v>
      </c>
      <c r="D4" s="3" t="n">
        <v>1784000</v>
      </c>
      <c r="E4" s="3" t="n">
        <v>910000</v>
      </c>
      <c r="F4" s="3" t="n">
        <v>2.15</v>
      </c>
      <c r="G4" s="3" t="n">
        <v>94.87750556792874</v>
      </c>
      <c r="H4" s="3" t="n">
        <v>4.008908685968819</v>
      </c>
      <c r="I4" s="3" t="n">
        <v>89.5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Process</t>
        </is>
      </c>
      <c r="B1" s="2" t="inlineStr">
        <is>
          <t>Orders</t>
        </is>
      </c>
      <c r="C1" s="2" t="inlineStr">
        <is>
          <t>Revenue_Rupee</t>
        </is>
      </c>
      <c r="D1" s="2" t="inlineStr">
        <is>
          <t>Cost_Rupee</t>
        </is>
      </c>
      <c r="E1" s="2" t="inlineStr">
        <is>
          <t>Profit_Rupee</t>
        </is>
      </c>
      <c r="F1" s="2" t="inlineStr">
        <is>
          <t>Avg_Delivery_Days</t>
        </is>
      </c>
      <c r="G1" s="2" t="inlineStr">
        <is>
          <t>On_Time_Rate_%</t>
        </is>
      </c>
      <c r="H1" s="2" t="inlineStr">
        <is>
          <t>Return_Rate_%</t>
        </is>
      </c>
    </row>
    <row r="2">
      <c r="A2" s="3" t="inlineStr">
        <is>
          <t>Customer Support</t>
        </is>
      </c>
      <c r="B2" s="3" t="n">
        <v>641</v>
      </c>
      <c r="C2" s="3" t="n">
        <v>1602500</v>
      </c>
      <c r="D2" s="3" t="n">
        <v>803000</v>
      </c>
      <c r="E2" s="3" t="n">
        <v>799500</v>
      </c>
      <c r="F2" s="3" t="n">
        <v>2.05</v>
      </c>
      <c r="G2" s="3" t="n">
        <v>92.82371294851795</v>
      </c>
      <c r="H2" s="3" t="n">
        <v>7.48829953198128</v>
      </c>
    </row>
    <row r="3">
      <c r="A3" s="3" t="inlineStr">
        <is>
          <t>Delivery</t>
        </is>
      </c>
      <c r="B3" s="3" t="n">
        <v>853</v>
      </c>
      <c r="C3" s="3" t="n">
        <v>3412000</v>
      </c>
      <c r="D3" s="3" t="n">
        <v>2559000</v>
      </c>
      <c r="E3" s="3" t="n">
        <v>853000</v>
      </c>
      <c r="F3" s="3" t="n">
        <v>2.816666666666666</v>
      </c>
      <c r="G3" s="3" t="n">
        <v>92.37983587338803</v>
      </c>
      <c r="H3" s="3" t="n">
        <v>5.392731535756154</v>
      </c>
    </row>
    <row r="4">
      <c r="A4" s="3" t="inlineStr">
        <is>
          <t>Order Management</t>
        </is>
      </c>
      <c r="B4" s="3" t="n">
        <v>898</v>
      </c>
      <c r="C4" s="3" t="n">
        <v>2694000</v>
      </c>
      <c r="D4" s="3" t="n">
        <v>1784000</v>
      </c>
      <c r="E4" s="3" t="n">
        <v>910000</v>
      </c>
      <c r="F4" s="3" t="n">
        <v>2.15</v>
      </c>
      <c r="G4" s="3" t="n">
        <v>94.87750556792874</v>
      </c>
      <c r="H4" s="3" t="n">
        <v>4.008908685968819</v>
      </c>
    </row>
    <row r="5">
      <c r="A5" s="3" t="inlineStr">
        <is>
          <t>Production</t>
        </is>
      </c>
      <c r="B5" s="3" t="n">
        <v>803</v>
      </c>
      <c r="C5" s="3" t="n">
        <v>3212000</v>
      </c>
      <c r="D5" s="3" t="n">
        <v>2149000</v>
      </c>
      <c r="E5" s="3" t="n">
        <v>1063000</v>
      </c>
      <c r="F5" s="3" t="n">
        <v>2.916666666666667</v>
      </c>
      <c r="G5" s="3" t="n">
        <v>93.02615193026152</v>
      </c>
      <c r="H5" s="3" t="n">
        <v>3.98505603985056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58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Formula / Meaning</t>
        </is>
      </c>
    </row>
    <row r="2">
      <c r="A2" s="3" t="inlineStr">
        <is>
          <t>Total Orders</t>
        </is>
      </c>
      <c r="B2" s="3" t="n">
        <v>3195</v>
      </c>
      <c r="C2" s="3" t="inlineStr">
        <is>
          <t>SUM(Orders)</t>
        </is>
      </c>
    </row>
    <row r="3">
      <c r="A3" s="3" t="inlineStr">
        <is>
          <t>Total Revenue (Rupee)</t>
        </is>
      </c>
      <c r="B3" s="3" t="n">
        <v>10920500</v>
      </c>
      <c r="C3" s="3" t="inlineStr">
        <is>
          <t>SUM(Revenue_Rupee)</t>
        </is>
      </c>
    </row>
    <row r="4">
      <c r="A4" s="3" t="inlineStr">
        <is>
          <t>Total Cost (Rupee)</t>
        </is>
      </c>
      <c r="B4" s="3" t="n">
        <v>7295000</v>
      </c>
      <c r="C4" s="3" t="inlineStr">
        <is>
          <t>SUM(Cost_Rupee)</t>
        </is>
      </c>
    </row>
    <row r="5">
      <c r="A5" s="3" t="inlineStr">
        <is>
          <t>Total Profit (Rupee)</t>
        </is>
      </c>
      <c r="B5" s="3" t="n">
        <v>3625500</v>
      </c>
      <c r="C5" s="3" t="inlineStr">
        <is>
          <t>Revenue − Cost</t>
        </is>
      </c>
    </row>
    <row r="6">
      <c r="A6" s="3" t="inlineStr">
        <is>
          <t>Average Order Value (Rupee)</t>
        </is>
      </c>
      <c r="B6" s="3" t="n">
        <v>3417.996870109546</v>
      </c>
      <c r="C6" s="3" t="inlineStr">
        <is>
          <t>Revenue / Orders</t>
        </is>
      </c>
    </row>
    <row r="7">
      <c r="A7" s="3" t="inlineStr">
        <is>
          <t>Cost Per Order (Rupee)</t>
        </is>
      </c>
      <c r="B7" s="3" t="n">
        <v>2283.255086071988</v>
      </c>
      <c r="C7" s="3" t="inlineStr">
        <is>
          <t>Cost / Orders</t>
        </is>
      </c>
    </row>
    <row r="8">
      <c r="A8" s="3" t="inlineStr">
        <is>
          <t>On-Time Delivery Rate (%)</t>
        </is>
      </c>
      <c r="B8" s="3" t="n">
        <v>93.33333333333333</v>
      </c>
      <c r="C8" s="3" t="inlineStr">
        <is>
          <t>On-Time Deliveries / Deliveries × 100</t>
        </is>
      </c>
    </row>
    <row r="9">
      <c r="A9" s="3" t="inlineStr">
        <is>
          <t>Return Rate (%)</t>
        </is>
      </c>
      <c r="B9" s="3" t="n">
        <v>5.070422535211268</v>
      </c>
      <c r="C9" s="3" t="inlineStr">
        <is>
          <t>Returned Orders / Orders × 100</t>
        </is>
      </c>
    </row>
    <row r="10">
      <c r="A10" s="3" t="inlineStr">
        <is>
          <t>Profit Margin (%)</t>
        </is>
      </c>
      <c r="B10" s="3" t="n">
        <v>33.19902934847305</v>
      </c>
      <c r="C10" s="3" t="inlineStr">
        <is>
          <t>Profit / Revenue × 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</t>
        </is>
      </c>
      <c r="B1" s="2" t="inlineStr">
        <is>
          <t>Purpose</t>
        </is>
      </c>
      <c r="C1" s="2" t="inlineStr">
        <is>
          <t>Example</t>
        </is>
      </c>
    </row>
    <row r="2">
      <c r="A2" s="3" t="inlineStr">
        <is>
          <t>Sort</t>
        </is>
      </c>
      <c r="B2" s="3" t="inlineStr">
        <is>
          <t>Arrange records by a field</t>
        </is>
      </c>
      <c r="C2" s="3" t="inlineStr">
        <is>
          <t>Sort by Revenue_Rupee</t>
        </is>
      </c>
    </row>
    <row r="3">
      <c r="A3" s="3" t="inlineStr">
        <is>
          <t>Filter</t>
        </is>
      </c>
      <c r="B3" s="3" t="inlineStr">
        <is>
          <t>View selected records</t>
        </is>
      </c>
      <c r="C3" s="3" t="inlineStr">
        <is>
          <t>Filter Business_Function = Operations</t>
        </is>
      </c>
    </row>
    <row r="4">
      <c r="A4" s="3" t="inlineStr">
        <is>
          <t>SUM</t>
        </is>
      </c>
      <c r="B4" s="3" t="inlineStr">
        <is>
          <t>Calculate totals</t>
        </is>
      </c>
      <c r="C4" s="3" t="inlineStr">
        <is>
          <t>SUM(Revenue_Rupee)</t>
        </is>
      </c>
    </row>
    <row r="5">
      <c r="A5" s="3" t="inlineStr">
        <is>
          <t>AVERAGE</t>
        </is>
      </c>
      <c r="B5" s="3" t="inlineStr">
        <is>
          <t>Calculate mean</t>
        </is>
      </c>
      <c r="C5" s="3" t="inlineStr">
        <is>
          <t>AVERAGE(Delivery_Days)</t>
        </is>
      </c>
    </row>
    <row r="6">
      <c r="A6" s="3" t="inlineStr">
        <is>
          <t>SUMIF/SUMIFS</t>
        </is>
      </c>
      <c r="B6" s="3" t="inlineStr">
        <is>
          <t>Conditional totals</t>
        </is>
      </c>
      <c r="C6" s="3" t="inlineStr">
        <is>
          <t>Revenue by Business_Function</t>
        </is>
      </c>
    </row>
    <row r="7">
      <c r="A7" s="3" t="inlineStr">
        <is>
          <t>COUNTIF/COUNTIFS</t>
        </is>
      </c>
      <c r="B7" s="3" t="inlineStr">
        <is>
          <t>Conditional counts</t>
        </is>
      </c>
      <c r="C7" s="3" t="inlineStr">
        <is>
          <t>Orders meeting a condition</t>
        </is>
      </c>
    </row>
    <row r="8">
      <c r="A8" s="3" t="inlineStr">
        <is>
          <t>Pivot Table</t>
        </is>
      </c>
      <c r="B8" s="3" t="inlineStr">
        <is>
          <t>Summarise large datasets</t>
        </is>
      </c>
      <c r="C8" s="3" t="inlineStr">
        <is>
          <t>Revenue by Process</t>
        </is>
      </c>
    </row>
    <row r="9">
      <c r="A9" s="3" t="inlineStr">
        <is>
          <t>Chart</t>
        </is>
      </c>
      <c r="B9" s="3" t="inlineStr">
        <is>
          <t>Visualise patterns</t>
        </is>
      </c>
      <c r="C9" s="3" t="inlineStr">
        <is>
          <t>Revenue by Process chart</t>
        </is>
      </c>
    </row>
    <row r="10">
      <c r="A10" s="3" t="inlineStr">
        <is>
          <t>Conditional Formatting</t>
        </is>
      </c>
      <c r="B10" s="3" t="inlineStr">
        <is>
          <t>Highlight values</t>
        </is>
      </c>
      <c r="C10" s="3" t="inlineStr">
        <is>
          <t>Highlight high return rates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Question</t>
        </is>
      </c>
    </row>
    <row r="2">
      <c r="A2" s="3" t="inlineStr">
        <is>
          <t>What is the total number of orders?</t>
        </is>
      </c>
    </row>
    <row r="3">
      <c r="A3" s="3" t="inlineStr">
        <is>
          <t>Which business function has the highest revenue?</t>
        </is>
      </c>
    </row>
    <row r="4">
      <c r="A4" s="3" t="inlineStr">
        <is>
          <t>Which process has the highest profit?</t>
        </is>
      </c>
    </row>
    <row r="5">
      <c r="A5" s="3" t="inlineStr">
        <is>
          <t>What is the overall profit margin?</t>
        </is>
      </c>
    </row>
    <row r="6">
      <c r="A6" s="3" t="inlineStr">
        <is>
          <t>Which process has the longest average delivery time?</t>
        </is>
      </c>
    </row>
    <row r="7">
      <c r="A7" s="3" t="inlineStr">
        <is>
          <t>What is the overall on-time delivery rate?</t>
        </is>
      </c>
    </row>
    <row r="8">
      <c r="A8" s="3" t="inlineStr">
        <is>
          <t>Which process has the highest return rate?</t>
        </is>
      </c>
    </row>
    <row r="9">
      <c r="A9" s="3" t="inlineStr">
        <is>
          <t>How can filtering help a business analyst?</t>
        </is>
      </c>
    </row>
    <row r="10">
      <c r="A10" s="3" t="inlineStr">
        <is>
          <t>Why are Pivot Tables useful for business process data?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Area</t>
        </is>
      </c>
      <c r="B1" s="2" t="inlineStr">
        <is>
          <t>Observation Framework</t>
        </is>
      </c>
      <c r="C1" s="2" t="inlineStr">
        <is>
          <t>Business Use</t>
        </is>
      </c>
    </row>
    <row r="2">
      <c r="A2" s="3" t="inlineStr">
        <is>
          <t>Volume</t>
        </is>
      </c>
      <c r="B2" s="3" t="inlineStr">
        <is>
          <t>Review Orders by function and process.</t>
        </is>
      </c>
      <c r="C2" s="3" t="inlineStr">
        <is>
          <t>Understand workload distribution.</t>
        </is>
      </c>
    </row>
    <row r="3">
      <c r="A3" s="3" t="inlineStr">
        <is>
          <t>Revenue</t>
        </is>
      </c>
      <c r="B3" s="3" t="inlineStr">
        <is>
          <t>Compare revenue across processes.</t>
        </is>
      </c>
      <c r="C3" s="3" t="inlineStr">
        <is>
          <t>Identify major revenue-generating activities.</t>
        </is>
      </c>
    </row>
    <row r="4">
      <c r="A4" s="3" t="inlineStr">
        <is>
          <t>Cost</t>
        </is>
      </c>
      <c r="B4" s="3" t="inlineStr">
        <is>
          <t>Compare cost with revenue.</t>
        </is>
      </c>
      <c r="C4" s="3" t="inlineStr">
        <is>
          <t>Understand financial efficiency.</t>
        </is>
      </c>
    </row>
    <row r="5">
      <c r="A5" s="3" t="inlineStr">
        <is>
          <t>Delivery</t>
        </is>
      </c>
      <c r="B5" s="3" t="inlineStr">
        <is>
          <t>Review average delivery days and on-time rate.</t>
        </is>
      </c>
      <c r="C5" s="3" t="inlineStr">
        <is>
          <t>Monitor service performance.</t>
        </is>
      </c>
    </row>
    <row r="6">
      <c r="A6" s="3" t="inlineStr">
        <is>
          <t>Returns</t>
        </is>
      </c>
      <c r="B6" s="3" t="inlineStr">
        <is>
          <t>Review return rate by process.</t>
        </is>
      </c>
      <c r="C6" s="3" t="inlineStr">
        <is>
          <t>Identify areas for further investigation.</t>
        </is>
      </c>
    </row>
    <row r="7">
      <c r="A7" s="3" t="inlineStr">
        <is>
          <t>Spreadsheet Processing</t>
        </is>
      </c>
      <c r="B7" s="3" t="inlineStr">
        <is>
          <t>Use filters, formulas, summaries, and charts.</t>
        </is>
      </c>
      <c r="C7" s="3" t="inlineStr">
        <is>
          <t>Turn raw process records into useful information.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Day 090 — Business Process Data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Process</t>
        </is>
      </c>
      <c r="K2" s="3" t="inlineStr">
        <is>
          <t>Revenue</t>
        </is>
      </c>
    </row>
    <row r="3">
      <c r="A3" s="4" t="inlineStr">
        <is>
          <t>Total Orders</t>
        </is>
      </c>
      <c r="B3" s="3" t="n">
        <v>3195</v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Customer Support</t>
        </is>
      </c>
      <c r="K3" s="3" t="n">
        <v>1602500</v>
      </c>
    </row>
    <row r="4">
      <c r="A4" s="4" t="inlineStr">
        <is>
          <t>Total Revenue</t>
        </is>
      </c>
      <c r="B4" s="3" t="n">
        <v>10920500</v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Delivery</t>
        </is>
      </c>
      <c r="K4" s="3" t="n">
        <v>3412000</v>
      </c>
    </row>
    <row r="5">
      <c r="A5" s="4" t="inlineStr">
        <is>
          <t>Total Cost</t>
        </is>
      </c>
      <c r="B5" s="3" t="n">
        <v>7295000</v>
      </c>
      <c r="C5" s="3" t="n"/>
      <c r="D5" s="3" t="n"/>
      <c r="E5" s="3" t="n"/>
      <c r="F5" s="3" t="n"/>
      <c r="G5" s="3" t="n"/>
      <c r="H5" s="3" t="n"/>
      <c r="I5" s="3" t="n"/>
      <c r="J5" s="3" t="inlineStr">
        <is>
          <t>Order Management</t>
        </is>
      </c>
      <c r="K5" s="3" t="n">
        <v>2694000</v>
      </c>
    </row>
    <row r="6">
      <c r="A6" s="4" t="inlineStr">
        <is>
          <t>Total Profit</t>
        </is>
      </c>
      <c r="B6" s="3" t="n">
        <v>3625500</v>
      </c>
      <c r="C6" s="3" t="n"/>
      <c r="D6" s="3" t="n"/>
      <c r="E6" s="3" t="n"/>
      <c r="F6" s="3" t="n"/>
      <c r="G6" s="3" t="n"/>
      <c r="H6" s="3" t="n"/>
      <c r="I6" s="3" t="n"/>
      <c r="J6" s="3" t="inlineStr">
        <is>
          <t>Production</t>
        </is>
      </c>
      <c r="K6" s="3" t="n">
        <v>3212000</v>
      </c>
    </row>
    <row r="7">
      <c r="A7" s="4" t="inlineStr">
        <is>
          <t>On-Time Delivery Rate (%)</t>
        </is>
      </c>
      <c r="B7" s="3" t="n">
        <v>93.33333333333333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4" t="inlineStr">
        <is>
          <t>Return Rate (%)</t>
        </is>
      </c>
      <c r="B8" s="3" t="n">
        <v>5.070422535211268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2026-09-17T09:52:30Z</dcterms:created>
  <dcterms:modified xmlns:dcterms="http://purl.org/dc/terms/" xmlns:xsi="http://www.w3.org/2001/XMLSchema-instance" xsi:type="dcterms:W3CDTF">2026-09-17T09:52:31Z</dcterms:modified>
</cp:coreProperties>
</file>