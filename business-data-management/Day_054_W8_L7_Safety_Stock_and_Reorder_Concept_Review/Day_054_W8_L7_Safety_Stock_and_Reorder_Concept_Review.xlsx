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fety_Stock_Data" sheetId="1" state="visible" r:id="rId1"/>
    <sheet xmlns:r="http://schemas.openxmlformats.org/officeDocument/2006/relationships" name="Product_Summary" sheetId="2" state="visible" r:id="rId2"/>
    <sheet xmlns:r="http://schemas.openxmlformats.org/officeDocument/2006/relationships" name="Monthly_Summary" sheetId="3" state="visible" r:id="rId3"/>
    <sheet xmlns:r="http://schemas.openxmlformats.org/officeDocument/2006/relationships" name="Region_Summary" sheetId="4" state="visible" r:id="rId4"/>
    <sheet xmlns:r="http://schemas.openxmlformats.org/officeDocument/2006/relationships" name="Product_Region" sheetId="5" state="visible" r:id="rId5"/>
    <sheet xmlns:r="http://schemas.openxmlformats.org/officeDocument/2006/relationships" name="Safety_Stock_Working" sheetId="6" state="visible" r:id="rId6"/>
    <sheet xmlns:r="http://schemas.openxmlformats.org/officeDocument/2006/relationships" name="Reorder_Point_Working" sheetId="7" state="visible" r:id="rId7"/>
    <sheet xmlns:r="http://schemas.openxmlformats.org/officeDocument/2006/relationships" name="Stock_Status" sheetId="8" state="visible" r:id="rId8"/>
    <sheet xmlns:r="http://schemas.openxmlformats.org/officeDocument/2006/relationships" name="Concept_Review" sheetId="9" state="visible" r:id="rId9"/>
    <sheet xmlns:r="http://schemas.openxmlformats.org/officeDocument/2006/relationships" name="Questions" sheetId="10" state="visible" r:id="rId10"/>
    <sheet xmlns:r="http://schemas.openxmlformats.org/officeDocument/2006/relationships" name="Business_Insights" sheetId="11" state="visible" r:id="rId11"/>
    <sheet xmlns:r="http://schemas.openxmlformats.org/officeDocument/2006/relationships" name="Data_Dictionary" sheetId="12" state="visible" r:id="rId12"/>
    <sheet xmlns:r="http://schemas.openxmlformats.org/officeDocument/2006/relationships" name="Instructions" sheetId="13" state="visible" r:id="rId13"/>
    <sheet xmlns:r="http://schemas.openxmlformats.org/officeDocument/2006/relationships" name="Safety_Stock_Reorder_Dashboard" sheetId="14" state="visible" r:id="rId14"/>
  </sheets>
  <definedNames>
    <definedName name="_xlnm._FilterDatabase" localSheetId="0" hidden="1">'Safety_Stock_Data'!$A$1:$T$55</definedName>
    <definedName name="_xlnm._FilterDatabase" localSheetId="1" hidden="1">'Product_Summary'!$A$1:$H$4</definedName>
    <definedName name="_xlnm._FilterDatabase" localSheetId="2" hidden="1">'Monthly_Summary'!$A$1:$E$7</definedName>
    <definedName name="_xlnm._FilterDatabase" localSheetId="3" hidden="1">'Region_Summary'!$A$1:$F$4</definedName>
    <definedName name="_xlnm._FilterDatabase" localSheetId="4" hidden="1">'Product_Region'!$A$1:$G$10</definedName>
    <definedName name="_xlnm._FilterDatabase" localSheetId="5" hidden="1">'Safety_Stock_Working'!$A$1:$J$55</definedName>
    <definedName name="_xlnm._FilterDatabase" localSheetId="6" hidden="1">'Reorder_Point_Working'!$A$1:$J$55</definedName>
    <definedName name="_xlnm._FilterDatabase" localSheetId="7" hidden="1">'Stock_Status'!$A$1:$B$2</definedName>
    <definedName name="_xlnm._FilterDatabase" localSheetId="8" hidden="1">'Concept_Review'!$A$1:$C$9</definedName>
    <definedName name="_xlnm._FilterDatabase" localSheetId="9" hidden="1">'Questions'!$A$1:$B$21</definedName>
    <definedName name="_xlnm._FilterDatabase" localSheetId="10" hidden="1">'Business_Insights'!$A$1:$C$7</definedName>
    <definedName name="_xlnm._FilterDatabase" localSheetId="11" hidden="1">'Data_Dictionary'!$A$1:$B$21</definedName>
    <definedName name="_xlnm._FilterDatabase" localSheetId="12" hidden="1">'Instructions'!$A$1:$B$13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8"/>
    </font>
    <font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Reorder Point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'Product_Summary'!E1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'Product_Summary'!$A$2:$A$4</f>
            </numRef>
          </cat>
          <val>
            <numRef>
              <f>'Product_Summary'!$E$2:$E$4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Safety Stock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'Product_Summary'!D1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'Product_Summary'!$A$2:$A$4</f>
            </numRef>
          </cat>
          <val>
            <numRef>
              <f>'Product_Summary'!$D$2:$D$4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Reorder Point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'Monthly_Summary'!D1</f>
            </strRef>
          </tx>
          <spPr>
            <a:ln xmlns:a="http://schemas.openxmlformats.org/drawingml/2006/main" w="28575">
              <a:solidFill>
                <a:srgbClr val="70AD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'Monthly_Summary'!$A$2:$A$7</f>
            </numRef>
          </cat>
          <val>
            <numRef>
              <f>'Monthly_Summary'!$D$2:$D$7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Region: Closing Inventory vs Reorder Point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'Region_Summary'!E1</f>
            </strRef>
          </tx>
          <spPr>
            <a:solidFill xmlns:a="http://schemas.openxmlformats.org/drawingml/2006/main">
              <a:srgbClr val="8064A2"/>
            </a:solidFill>
            <a:ln xmlns:a="http://schemas.openxmlformats.org/drawingml/2006/main">
              <a:solidFill>
                <a:srgbClr val="8064A2"/>
              </a:solidFill>
              <a:prstDash val="solid"/>
            </a:ln>
          </spPr>
          <cat>
            <numRef>
              <f>'Region_Summary'!$A$2:$A$4</f>
            </numRef>
          </cat>
          <val>
            <numRef>
              <f>'Region_Summary'!$E$2:$E$4</f>
            </numRef>
          </val>
        </ser>
        <ser>
          <idx val="1"/>
          <order val="1"/>
          <tx>
            <strRef>
              <f>'Region_Summary'!D1</f>
            </strRef>
          </tx>
          <spPr>
            <a:solidFill xmlns:a="http://schemas.openxmlformats.org/drawingml/2006/main">
              <a:srgbClr val="5B9BD5"/>
            </a:solidFill>
            <a:ln xmlns:a="http://schemas.openxmlformats.org/drawingml/2006/main">
              <a:solidFill>
                <a:srgbClr val="5B9BD5"/>
              </a:solidFill>
              <a:prstDash val="solid"/>
            </a:ln>
          </spPr>
          <cat>
            <numRef>
              <f>'Region_Summary'!$A$2:$A$4</f>
            </numRef>
          </cat>
          <val>
            <numRef>
              <f>'Region_Summary'!$D$2:$D$4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3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19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19</row>
      <rowOff>0</rowOff>
    </from>
    <ext cx="540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4" customWidth="1" min="7" max="7"/>
    <col width="20" customWidth="1" min="8" max="8"/>
    <col width="19" customWidth="1" min="9" max="9"/>
    <col width="19" customWidth="1" min="10" max="10"/>
    <col width="21" customWidth="1" min="11" max="11"/>
    <col width="21" customWidth="1" min="12" max="12"/>
    <col width="15" customWidth="1" min="13" max="13"/>
    <col width="16" customWidth="1" min="14" max="14"/>
    <col width="19" customWidth="1" min="15" max="15"/>
    <col width="20" customWidth="1" min="16" max="16"/>
    <col width="19" customWidth="1" min="17" max="17"/>
    <col width="21" customWidth="1" min="18" max="18"/>
    <col width="24" customWidth="1" min="19" max="19"/>
    <col width="15" customWidth="1" min="20" max="20"/>
  </cols>
  <sheetData>
    <row r="1">
      <c r="A1" s="1" t="inlineStr">
        <is>
          <t>Record_ID</t>
        </is>
      </c>
      <c r="B1" s="1" t="inlineStr">
        <is>
          <t>Month</t>
        </is>
      </c>
      <c r="C1" s="1" t="inlineStr">
        <is>
          <t>Product</t>
        </is>
      </c>
      <c r="D1" s="1" t="inlineStr">
        <is>
          <t>Region</t>
        </is>
      </c>
      <c r="E1" s="1" t="inlineStr">
        <is>
          <t>Opening_Inventory</t>
        </is>
      </c>
      <c r="F1" s="1" t="inlineStr">
        <is>
          <t>Receipts</t>
        </is>
      </c>
      <c r="G1" s="1" t="inlineStr">
        <is>
          <t>Sales_Units</t>
        </is>
      </c>
      <c r="H1" s="1" t="inlineStr">
        <is>
          <t>Closing_Inventory</t>
        </is>
      </c>
      <c r="I1" s="1" t="inlineStr">
        <is>
          <t>Avg_Daily_Demand</t>
        </is>
      </c>
      <c r="J1" s="1" t="inlineStr">
        <is>
          <t>Max_Daily_Demand</t>
        </is>
      </c>
      <c r="K1" s="1" t="inlineStr">
        <is>
          <t>Avg_Lead_Time_Days</t>
        </is>
      </c>
      <c r="L1" s="1" t="inlineStr">
        <is>
          <t>Max_Lead_Time_Days</t>
        </is>
      </c>
      <c r="M1" s="1" t="inlineStr">
        <is>
          <t>Safety_Stock</t>
        </is>
      </c>
      <c r="N1" s="1" t="inlineStr">
        <is>
          <t>Reorder_Point</t>
        </is>
      </c>
      <c r="O1" s="1" t="inlineStr">
        <is>
          <t>Lead_Time_Demand</t>
        </is>
      </c>
      <c r="P1" s="1" t="inlineStr">
        <is>
          <t>Safety_Stock_Calc</t>
        </is>
      </c>
      <c r="Q1" s="1" t="inlineStr">
        <is>
          <t>Safety_Stock_Gap</t>
        </is>
      </c>
      <c r="R1" s="1" t="inlineStr">
        <is>
          <t>Reorder_Point_Calc</t>
        </is>
      </c>
      <c r="S1" s="1" t="inlineStr">
        <is>
          <t>Reorder_Coverage_Days</t>
        </is>
      </c>
      <c r="T1" s="1" t="inlineStr">
        <is>
          <t>Stock_Status</t>
        </is>
      </c>
    </row>
    <row r="2">
      <c r="A2" t="n">
        <v>1</v>
      </c>
      <c r="B2" t="inlineStr">
        <is>
          <t>Jan</t>
        </is>
      </c>
      <c r="C2" t="inlineStr">
        <is>
          <t>Gears</t>
        </is>
      </c>
      <c r="D2" t="inlineStr">
        <is>
          <t>North</t>
        </is>
      </c>
      <c r="E2" t="n">
        <v>1200</v>
      </c>
      <c r="F2" t="n">
        <v>3700</v>
      </c>
      <c r="G2" t="n">
        <v>3240</v>
      </c>
      <c r="H2" t="n">
        <v>1660</v>
      </c>
      <c r="I2" t="n">
        <v>180</v>
      </c>
      <c r="J2" t="n">
        <v>205</v>
      </c>
      <c r="K2" t="n">
        <v>420</v>
      </c>
      <c r="L2" t="n">
        <v>440</v>
      </c>
      <c r="M2" t="n">
        <v>140</v>
      </c>
      <c r="N2" t="n">
        <v>75740</v>
      </c>
      <c r="O2" t="n">
        <v>75600</v>
      </c>
      <c r="P2" t="n">
        <v>14600</v>
      </c>
      <c r="Q2" t="n">
        <v>-14460</v>
      </c>
      <c r="R2" t="n">
        <v>75740</v>
      </c>
      <c r="S2" t="n">
        <v>420.7777777777778</v>
      </c>
      <c r="T2" t="inlineStr">
        <is>
          <t>Below Reorder Point</t>
        </is>
      </c>
    </row>
    <row r="3">
      <c r="A3" t="n">
        <v>2</v>
      </c>
      <c r="B3" t="inlineStr">
        <is>
          <t>Jan</t>
        </is>
      </c>
      <c r="C3" t="inlineStr">
        <is>
          <t>Gears</t>
        </is>
      </c>
      <c r="D3" t="inlineStr">
        <is>
          <t>South</t>
        </is>
      </c>
      <c r="E3" t="n">
        <v>1225</v>
      </c>
      <c r="F3" t="n">
        <v>3780</v>
      </c>
      <c r="G3" t="n">
        <v>3332</v>
      </c>
      <c r="H3" t="n">
        <v>1673</v>
      </c>
      <c r="I3" t="n">
        <v>184</v>
      </c>
      <c r="J3" t="n">
        <v>209</v>
      </c>
      <c r="K3" t="n">
        <v>440</v>
      </c>
      <c r="L3" t="n">
        <v>460</v>
      </c>
      <c r="M3" t="n">
        <v>143</v>
      </c>
      <c r="N3" t="n">
        <v>81103</v>
      </c>
      <c r="O3" t="n">
        <v>80960</v>
      </c>
      <c r="P3" t="n">
        <v>15180</v>
      </c>
      <c r="Q3" t="n">
        <v>-15037</v>
      </c>
      <c r="R3" t="n">
        <v>81103</v>
      </c>
      <c r="S3" t="n">
        <v>440.7771739130435</v>
      </c>
      <c r="T3" t="inlineStr">
        <is>
          <t>Below Reorder Point</t>
        </is>
      </c>
    </row>
    <row r="4">
      <c r="A4" t="n">
        <v>3</v>
      </c>
      <c r="B4" t="inlineStr">
        <is>
          <t>Jan</t>
        </is>
      </c>
      <c r="C4" t="inlineStr">
        <is>
          <t>Gears</t>
        </is>
      </c>
      <c r="D4" t="inlineStr">
        <is>
          <t>West</t>
        </is>
      </c>
      <c r="E4" t="n">
        <v>1250</v>
      </c>
      <c r="F4" t="n">
        <v>3860</v>
      </c>
      <c r="G4" t="n">
        <v>3424</v>
      </c>
      <c r="H4" t="n">
        <v>1686</v>
      </c>
      <c r="I4" t="n">
        <v>188</v>
      </c>
      <c r="J4" t="n">
        <v>213</v>
      </c>
      <c r="K4" t="n">
        <v>460</v>
      </c>
      <c r="L4" t="n">
        <v>480</v>
      </c>
      <c r="M4" t="n">
        <v>146</v>
      </c>
      <c r="N4" t="n">
        <v>86626</v>
      </c>
      <c r="O4" t="n">
        <v>86480</v>
      </c>
      <c r="P4" t="n">
        <v>15760</v>
      </c>
      <c r="Q4" t="n">
        <v>-15614</v>
      </c>
      <c r="R4" t="n">
        <v>86626</v>
      </c>
      <c r="S4" t="n">
        <v>460.7765957446808</v>
      </c>
      <c r="T4" t="inlineStr">
        <is>
          <t>Below Reorder Point</t>
        </is>
      </c>
    </row>
    <row r="5">
      <c r="A5" t="n">
        <v>4</v>
      </c>
      <c r="B5" t="inlineStr">
        <is>
          <t>Jan</t>
        </is>
      </c>
      <c r="C5" t="inlineStr">
        <is>
          <t>Shafts</t>
        </is>
      </c>
      <c r="D5" t="inlineStr">
        <is>
          <t>North</t>
        </is>
      </c>
      <c r="E5" t="n">
        <v>950</v>
      </c>
      <c r="F5" t="n">
        <v>3070</v>
      </c>
      <c r="G5" t="n">
        <v>2646</v>
      </c>
      <c r="H5" t="n">
        <v>1374</v>
      </c>
      <c r="I5" t="n">
        <v>147</v>
      </c>
      <c r="J5" t="n">
        <v>176</v>
      </c>
      <c r="K5" t="n">
        <v>360</v>
      </c>
      <c r="L5" t="n">
        <v>380</v>
      </c>
      <c r="M5" t="n">
        <v>127</v>
      </c>
      <c r="N5" t="n">
        <v>53047</v>
      </c>
      <c r="O5" t="n">
        <v>52920</v>
      </c>
      <c r="P5" t="n">
        <v>13960</v>
      </c>
      <c r="Q5" t="n">
        <v>-13833</v>
      </c>
      <c r="R5" t="n">
        <v>53047</v>
      </c>
      <c r="S5" t="n">
        <v>360.8639455782313</v>
      </c>
      <c r="T5" t="inlineStr">
        <is>
          <t>Below Reorder Point</t>
        </is>
      </c>
    </row>
    <row r="6">
      <c r="A6" t="n">
        <v>5</v>
      </c>
      <c r="B6" t="inlineStr">
        <is>
          <t>Jan</t>
        </is>
      </c>
      <c r="C6" t="inlineStr">
        <is>
          <t>Shafts</t>
        </is>
      </c>
      <c r="D6" t="inlineStr">
        <is>
          <t>South</t>
        </is>
      </c>
      <c r="E6" t="n">
        <v>975</v>
      </c>
      <c r="F6" t="n">
        <v>3150</v>
      </c>
      <c r="G6" t="n">
        <v>2738</v>
      </c>
      <c r="H6" t="n">
        <v>1387</v>
      </c>
      <c r="I6" t="n">
        <v>151</v>
      </c>
      <c r="J6" t="n">
        <v>180</v>
      </c>
      <c r="K6" t="n">
        <v>380</v>
      </c>
      <c r="L6" t="n">
        <v>400</v>
      </c>
      <c r="M6" t="n">
        <v>130</v>
      </c>
      <c r="N6" t="n">
        <v>57510</v>
      </c>
      <c r="O6" t="n">
        <v>57380</v>
      </c>
      <c r="P6" t="n">
        <v>14620</v>
      </c>
      <c r="Q6" t="n">
        <v>-14490</v>
      </c>
      <c r="R6" t="n">
        <v>57510</v>
      </c>
      <c r="S6" t="n">
        <v>380.8609271523179</v>
      </c>
      <c r="T6" t="inlineStr">
        <is>
          <t>Below Reorder Point</t>
        </is>
      </c>
    </row>
    <row r="7">
      <c r="A7" t="n">
        <v>6</v>
      </c>
      <c r="B7" t="inlineStr">
        <is>
          <t>Jan</t>
        </is>
      </c>
      <c r="C7" t="inlineStr">
        <is>
          <t>Shafts</t>
        </is>
      </c>
      <c r="D7" t="inlineStr">
        <is>
          <t>West</t>
        </is>
      </c>
      <c r="E7" t="n">
        <v>1000</v>
      </c>
      <c r="F7" t="n">
        <v>3230</v>
      </c>
      <c r="G7" t="n">
        <v>2830</v>
      </c>
      <c r="H7" t="n">
        <v>1400</v>
      </c>
      <c r="I7" t="n">
        <v>155</v>
      </c>
      <c r="J7" t="n">
        <v>184</v>
      </c>
      <c r="K7" t="n">
        <v>400</v>
      </c>
      <c r="L7" t="n">
        <v>420</v>
      </c>
      <c r="M7" t="n">
        <v>133</v>
      </c>
      <c r="N7" t="n">
        <v>62133</v>
      </c>
      <c r="O7" t="n">
        <v>62000</v>
      </c>
      <c r="P7" t="n">
        <v>15280</v>
      </c>
      <c r="Q7" t="n">
        <v>-15147</v>
      </c>
      <c r="R7" t="n">
        <v>62133</v>
      </c>
      <c r="S7" t="n">
        <v>400.858064516129</v>
      </c>
      <c r="T7" t="inlineStr">
        <is>
          <t>Below Reorder Point</t>
        </is>
      </c>
    </row>
    <row r="8">
      <c r="A8" t="n">
        <v>7</v>
      </c>
      <c r="B8" t="inlineStr">
        <is>
          <t>Jan</t>
        </is>
      </c>
      <c r="C8" t="inlineStr">
        <is>
          <t>Bearings</t>
        </is>
      </c>
      <c r="D8" t="inlineStr">
        <is>
          <t>North</t>
        </is>
      </c>
      <c r="E8" t="n">
        <v>800</v>
      </c>
      <c r="F8" t="n">
        <v>2640</v>
      </c>
      <c r="G8" t="n">
        <v>2232</v>
      </c>
      <c r="H8" t="n">
        <v>1208</v>
      </c>
      <c r="I8" t="n">
        <v>124</v>
      </c>
      <c r="J8" t="n">
        <v>157</v>
      </c>
      <c r="K8" t="n">
        <v>300</v>
      </c>
      <c r="L8" t="n">
        <v>320</v>
      </c>
      <c r="M8" t="n">
        <v>114</v>
      </c>
      <c r="N8" t="n">
        <v>37314</v>
      </c>
      <c r="O8" t="n">
        <v>37200</v>
      </c>
      <c r="P8" t="n">
        <v>13040</v>
      </c>
      <c r="Q8" t="n">
        <v>-12926</v>
      </c>
      <c r="R8" t="n">
        <v>37314</v>
      </c>
      <c r="S8" t="n">
        <v>300.9193548387097</v>
      </c>
      <c r="T8" t="inlineStr">
        <is>
          <t>Below Reorder Point</t>
        </is>
      </c>
    </row>
    <row r="9">
      <c r="A9" t="n">
        <v>8</v>
      </c>
      <c r="B9" t="inlineStr">
        <is>
          <t>Jan</t>
        </is>
      </c>
      <c r="C9" t="inlineStr">
        <is>
          <t>Bearings</t>
        </is>
      </c>
      <c r="D9" t="inlineStr">
        <is>
          <t>South</t>
        </is>
      </c>
      <c r="E9" t="n">
        <v>825</v>
      </c>
      <c r="F9" t="n">
        <v>2720</v>
      </c>
      <c r="G9" t="n">
        <v>2324</v>
      </c>
      <c r="H9" t="n">
        <v>1221</v>
      </c>
      <c r="I9" t="n">
        <v>128</v>
      </c>
      <c r="J9" t="n">
        <v>161</v>
      </c>
      <c r="K9" t="n">
        <v>320</v>
      </c>
      <c r="L9" t="n">
        <v>340</v>
      </c>
      <c r="M9" t="n">
        <v>117</v>
      </c>
      <c r="N9" t="n">
        <v>41077</v>
      </c>
      <c r="O9" t="n">
        <v>40960</v>
      </c>
      <c r="P9" t="n">
        <v>13780</v>
      </c>
      <c r="Q9" t="n">
        <v>-13663</v>
      </c>
      <c r="R9" t="n">
        <v>41077</v>
      </c>
      <c r="S9" t="n">
        <v>320.9140625</v>
      </c>
      <c r="T9" t="inlineStr">
        <is>
          <t>Below Reorder Point</t>
        </is>
      </c>
    </row>
    <row r="10">
      <c r="A10" t="n">
        <v>9</v>
      </c>
      <c r="B10" t="inlineStr">
        <is>
          <t>Jan</t>
        </is>
      </c>
      <c r="C10" t="inlineStr">
        <is>
          <t>Bearings</t>
        </is>
      </c>
      <c r="D10" t="inlineStr">
        <is>
          <t>West</t>
        </is>
      </c>
      <c r="E10" t="n">
        <v>850</v>
      </c>
      <c r="F10" t="n">
        <v>2800</v>
      </c>
      <c r="G10" t="n">
        <v>2416</v>
      </c>
      <c r="H10" t="n">
        <v>1234</v>
      </c>
      <c r="I10" t="n">
        <v>132</v>
      </c>
      <c r="J10" t="n">
        <v>165</v>
      </c>
      <c r="K10" t="n">
        <v>340</v>
      </c>
      <c r="L10" t="n">
        <v>360</v>
      </c>
      <c r="M10" t="n">
        <v>120</v>
      </c>
      <c r="N10" t="n">
        <v>45000</v>
      </c>
      <c r="O10" t="n">
        <v>44880</v>
      </c>
      <c r="P10" t="n">
        <v>14520</v>
      </c>
      <c r="Q10" t="n">
        <v>-14400</v>
      </c>
      <c r="R10" t="n">
        <v>45000</v>
      </c>
      <c r="S10" t="n">
        <v>340.9090909090909</v>
      </c>
      <c r="T10" t="inlineStr">
        <is>
          <t>Below Reorder Point</t>
        </is>
      </c>
    </row>
    <row r="11">
      <c r="A11" t="n">
        <v>10</v>
      </c>
      <c r="B11" t="inlineStr">
        <is>
          <t>Feb</t>
        </is>
      </c>
      <c r="C11" t="inlineStr">
        <is>
          <t>Gears</t>
        </is>
      </c>
      <c r="D11" t="inlineStr">
        <is>
          <t>North</t>
        </is>
      </c>
      <c r="E11" t="n">
        <v>1245</v>
      </c>
      <c r="F11" t="n">
        <v>3760</v>
      </c>
      <c r="G11" t="n">
        <v>3306</v>
      </c>
      <c r="H11" t="n">
        <v>1699</v>
      </c>
      <c r="I11" t="n">
        <v>183</v>
      </c>
      <c r="J11" t="n">
        <v>208</v>
      </c>
      <c r="K11" t="n">
        <v>430</v>
      </c>
      <c r="L11" t="n">
        <v>450</v>
      </c>
      <c r="M11" t="n">
        <v>144</v>
      </c>
      <c r="N11" t="n">
        <v>78834</v>
      </c>
      <c r="O11" t="n">
        <v>78690</v>
      </c>
      <c r="P11" t="n">
        <v>14910</v>
      </c>
      <c r="Q11" t="n">
        <v>-14766</v>
      </c>
      <c r="R11" t="n">
        <v>78834</v>
      </c>
      <c r="S11" t="n">
        <v>430.7868852459017</v>
      </c>
      <c r="T11" t="inlineStr">
        <is>
          <t>Below Reorder Point</t>
        </is>
      </c>
    </row>
    <row r="12">
      <c r="A12" t="n">
        <v>11</v>
      </c>
      <c r="B12" t="inlineStr">
        <is>
          <t>Feb</t>
        </is>
      </c>
      <c r="C12" t="inlineStr">
        <is>
          <t>Gears</t>
        </is>
      </c>
      <c r="D12" t="inlineStr">
        <is>
          <t>South</t>
        </is>
      </c>
      <c r="E12" t="n">
        <v>1270</v>
      </c>
      <c r="F12" t="n">
        <v>3840</v>
      </c>
      <c r="G12" t="n">
        <v>3398</v>
      </c>
      <c r="H12" t="n">
        <v>1712</v>
      </c>
      <c r="I12" t="n">
        <v>187</v>
      </c>
      <c r="J12" t="n">
        <v>212</v>
      </c>
      <c r="K12" t="n">
        <v>450</v>
      </c>
      <c r="L12" t="n">
        <v>470</v>
      </c>
      <c r="M12" t="n">
        <v>147</v>
      </c>
      <c r="N12" t="n">
        <v>84297</v>
      </c>
      <c r="O12" t="n">
        <v>84150</v>
      </c>
      <c r="P12" t="n">
        <v>15490</v>
      </c>
      <c r="Q12" t="n">
        <v>-15343</v>
      </c>
      <c r="R12" t="n">
        <v>84297</v>
      </c>
      <c r="S12" t="n">
        <v>450.7860962566845</v>
      </c>
      <c r="T12" t="inlineStr">
        <is>
          <t>Below Reorder Point</t>
        </is>
      </c>
    </row>
    <row r="13">
      <c r="A13" t="n">
        <v>12</v>
      </c>
      <c r="B13" t="inlineStr">
        <is>
          <t>Feb</t>
        </is>
      </c>
      <c r="C13" t="inlineStr">
        <is>
          <t>Gears</t>
        </is>
      </c>
      <c r="D13" t="inlineStr">
        <is>
          <t>West</t>
        </is>
      </c>
      <c r="E13" t="n">
        <v>1295</v>
      </c>
      <c r="F13" t="n">
        <v>3920</v>
      </c>
      <c r="G13" t="n">
        <v>3490</v>
      </c>
      <c r="H13" t="n">
        <v>1725</v>
      </c>
      <c r="I13" t="n">
        <v>191</v>
      </c>
      <c r="J13" t="n">
        <v>216</v>
      </c>
      <c r="K13" t="n">
        <v>470</v>
      </c>
      <c r="L13" t="n">
        <v>490</v>
      </c>
      <c r="M13" t="n">
        <v>150</v>
      </c>
      <c r="N13" t="n">
        <v>89920</v>
      </c>
      <c r="O13" t="n">
        <v>89770</v>
      </c>
      <c r="P13" t="n">
        <v>16070</v>
      </c>
      <c r="Q13" t="n">
        <v>-15920</v>
      </c>
      <c r="R13" t="n">
        <v>89920</v>
      </c>
      <c r="S13" t="n">
        <v>470.7853403141361</v>
      </c>
      <c r="T13" t="inlineStr">
        <is>
          <t>Below Reorder Point</t>
        </is>
      </c>
    </row>
    <row r="14">
      <c r="A14" t="n">
        <v>13</v>
      </c>
      <c r="B14" t="inlineStr">
        <is>
          <t>Feb</t>
        </is>
      </c>
      <c r="C14" t="inlineStr">
        <is>
          <t>Shafts</t>
        </is>
      </c>
      <c r="D14" t="inlineStr">
        <is>
          <t>North</t>
        </is>
      </c>
      <c r="E14" t="n">
        <v>995</v>
      </c>
      <c r="F14" t="n">
        <v>3130</v>
      </c>
      <c r="G14" t="n">
        <v>2712</v>
      </c>
      <c r="H14" t="n">
        <v>1413</v>
      </c>
      <c r="I14" t="n">
        <v>150</v>
      </c>
      <c r="J14" t="n">
        <v>179</v>
      </c>
      <c r="K14" t="n">
        <v>370</v>
      </c>
      <c r="L14" t="n">
        <v>390</v>
      </c>
      <c r="M14" t="n">
        <v>131</v>
      </c>
      <c r="N14" t="n">
        <v>55631</v>
      </c>
      <c r="O14" t="n">
        <v>55500</v>
      </c>
      <c r="P14" t="n">
        <v>14310</v>
      </c>
      <c r="Q14" t="n">
        <v>-14179</v>
      </c>
      <c r="R14" t="n">
        <v>55631</v>
      </c>
      <c r="S14" t="n">
        <v>370.8733333333333</v>
      </c>
      <c r="T14" t="inlineStr">
        <is>
          <t>Below Reorder Point</t>
        </is>
      </c>
    </row>
    <row r="15">
      <c r="A15" t="n">
        <v>14</v>
      </c>
      <c r="B15" t="inlineStr">
        <is>
          <t>Feb</t>
        </is>
      </c>
      <c r="C15" t="inlineStr">
        <is>
          <t>Shafts</t>
        </is>
      </c>
      <c r="D15" t="inlineStr">
        <is>
          <t>South</t>
        </is>
      </c>
      <c r="E15" t="n">
        <v>1020</v>
      </c>
      <c r="F15" t="n">
        <v>3210</v>
      </c>
      <c r="G15" t="n">
        <v>2804</v>
      </c>
      <c r="H15" t="n">
        <v>1426</v>
      </c>
      <c r="I15" t="n">
        <v>154</v>
      </c>
      <c r="J15" t="n">
        <v>183</v>
      </c>
      <c r="K15" t="n">
        <v>390</v>
      </c>
      <c r="L15" t="n">
        <v>410</v>
      </c>
      <c r="M15" t="n">
        <v>134</v>
      </c>
      <c r="N15" t="n">
        <v>60194</v>
      </c>
      <c r="O15" t="n">
        <v>60060</v>
      </c>
      <c r="P15" t="n">
        <v>14970</v>
      </c>
      <c r="Q15" t="n">
        <v>-14836</v>
      </c>
      <c r="R15" t="n">
        <v>60194</v>
      </c>
      <c r="S15" t="n">
        <v>390.8701298701299</v>
      </c>
      <c r="T15" t="inlineStr">
        <is>
          <t>Below Reorder Point</t>
        </is>
      </c>
    </row>
    <row r="16">
      <c r="A16" t="n">
        <v>15</v>
      </c>
      <c r="B16" t="inlineStr">
        <is>
          <t>Feb</t>
        </is>
      </c>
      <c r="C16" t="inlineStr">
        <is>
          <t>Shafts</t>
        </is>
      </c>
      <c r="D16" t="inlineStr">
        <is>
          <t>West</t>
        </is>
      </c>
      <c r="E16" t="n">
        <v>1045</v>
      </c>
      <c r="F16" t="n">
        <v>3290</v>
      </c>
      <c r="G16" t="n">
        <v>2896</v>
      </c>
      <c r="H16" t="n">
        <v>1439</v>
      </c>
      <c r="I16" t="n">
        <v>158</v>
      </c>
      <c r="J16" t="n">
        <v>187</v>
      </c>
      <c r="K16" t="n">
        <v>410</v>
      </c>
      <c r="L16" t="n">
        <v>430</v>
      </c>
      <c r="M16" t="n">
        <v>137</v>
      </c>
      <c r="N16" t="n">
        <v>64917</v>
      </c>
      <c r="O16" t="n">
        <v>64780</v>
      </c>
      <c r="P16" t="n">
        <v>15630</v>
      </c>
      <c r="Q16" t="n">
        <v>-15493</v>
      </c>
      <c r="R16" t="n">
        <v>64917</v>
      </c>
      <c r="S16" t="n">
        <v>410.867088607595</v>
      </c>
      <c r="T16" t="inlineStr">
        <is>
          <t>Below Reorder Point</t>
        </is>
      </c>
    </row>
    <row r="17">
      <c r="A17" t="n">
        <v>16</v>
      </c>
      <c r="B17" t="inlineStr">
        <is>
          <t>Feb</t>
        </is>
      </c>
      <c r="C17" t="inlineStr">
        <is>
          <t>Bearings</t>
        </is>
      </c>
      <c r="D17" t="inlineStr">
        <is>
          <t>North</t>
        </is>
      </c>
      <c r="E17" t="n">
        <v>845</v>
      </c>
      <c r="F17" t="n">
        <v>2700</v>
      </c>
      <c r="G17" t="n">
        <v>2298</v>
      </c>
      <c r="H17" t="n">
        <v>1247</v>
      </c>
      <c r="I17" t="n">
        <v>127</v>
      </c>
      <c r="J17" t="n">
        <v>160</v>
      </c>
      <c r="K17" t="n">
        <v>310</v>
      </c>
      <c r="L17" t="n">
        <v>330</v>
      </c>
      <c r="M17" t="n">
        <v>118</v>
      </c>
      <c r="N17" t="n">
        <v>39488</v>
      </c>
      <c r="O17" t="n">
        <v>39370</v>
      </c>
      <c r="P17" t="n">
        <v>13430</v>
      </c>
      <c r="Q17" t="n">
        <v>-13312</v>
      </c>
      <c r="R17" t="n">
        <v>39488</v>
      </c>
      <c r="S17" t="n">
        <v>310.9291338582677</v>
      </c>
      <c r="T17" t="inlineStr">
        <is>
          <t>Below Reorder Point</t>
        </is>
      </c>
    </row>
    <row r="18">
      <c r="A18" t="n">
        <v>17</v>
      </c>
      <c r="B18" t="inlineStr">
        <is>
          <t>Feb</t>
        </is>
      </c>
      <c r="C18" t="inlineStr">
        <is>
          <t>Bearings</t>
        </is>
      </c>
      <c r="D18" t="inlineStr">
        <is>
          <t>South</t>
        </is>
      </c>
      <c r="E18" t="n">
        <v>870</v>
      </c>
      <c r="F18" t="n">
        <v>2780</v>
      </c>
      <c r="G18" t="n">
        <v>2390</v>
      </c>
      <c r="H18" t="n">
        <v>1260</v>
      </c>
      <c r="I18" t="n">
        <v>131</v>
      </c>
      <c r="J18" t="n">
        <v>164</v>
      </c>
      <c r="K18" t="n">
        <v>330</v>
      </c>
      <c r="L18" t="n">
        <v>350</v>
      </c>
      <c r="M18" t="n">
        <v>121</v>
      </c>
      <c r="N18" t="n">
        <v>43351</v>
      </c>
      <c r="O18" t="n">
        <v>43230</v>
      </c>
      <c r="P18" t="n">
        <v>14170</v>
      </c>
      <c r="Q18" t="n">
        <v>-14049</v>
      </c>
      <c r="R18" t="n">
        <v>43351</v>
      </c>
      <c r="S18" t="n">
        <v>330.9236641221374</v>
      </c>
      <c r="T18" t="inlineStr">
        <is>
          <t>Below Reorder Point</t>
        </is>
      </c>
    </row>
    <row r="19">
      <c r="A19" t="n">
        <v>18</v>
      </c>
      <c r="B19" t="inlineStr">
        <is>
          <t>Feb</t>
        </is>
      </c>
      <c r="C19" t="inlineStr">
        <is>
          <t>Bearings</t>
        </is>
      </c>
      <c r="D19" t="inlineStr">
        <is>
          <t>West</t>
        </is>
      </c>
      <c r="E19" t="n">
        <v>895</v>
      </c>
      <c r="F19" t="n">
        <v>2860</v>
      </c>
      <c r="G19" t="n">
        <v>2482</v>
      </c>
      <c r="H19" t="n">
        <v>1273</v>
      </c>
      <c r="I19" t="n">
        <v>135</v>
      </c>
      <c r="J19" t="n">
        <v>168</v>
      </c>
      <c r="K19" t="n">
        <v>350</v>
      </c>
      <c r="L19" t="n">
        <v>370</v>
      </c>
      <c r="M19" t="n">
        <v>124</v>
      </c>
      <c r="N19" t="n">
        <v>47374</v>
      </c>
      <c r="O19" t="n">
        <v>47250</v>
      </c>
      <c r="P19" t="n">
        <v>14910</v>
      </c>
      <c r="Q19" t="n">
        <v>-14786</v>
      </c>
      <c r="R19" t="n">
        <v>47374</v>
      </c>
      <c r="S19" t="n">
        <v>350.9185185185185</v>
      </c>
      <c r="T19" t="inlineStr">
        <is>
          <t>Below Reorder Point</t>
        </is>
      </c>
    </row>
    <row r="20">
      <c r="A20" t="n">
        <v>19</v>
      </c>
      <c r="B20" t="inlineStr">
        <is>
          <t>Mar</t>
        </is>
      </c>
      <c r="C20" t="inlineStr">
        <is>
          <t>Gears</t>
        </is>
      </c>
      <c r="D20" t="inlineStr">
        <is>
          <t>North</t>
        </is>
      </c>
      <c r="E20" t="n">
        <v>1290</v>
      </c>
      <c r="F20" t="n">
        <v>3820</v>
      </c>
      <c r="G20" t="n">
        <v>3372</v>
      </c>
      <c r="H20" t="n">
        <v>1738</v>
      </c>
      <c r="I20" t="n">
        <v>186</v>
      </c>
      <c r="J20" t="n">
        <v>211</v>
      </c>
      <c r="K20" t="n">
        <v>420</v>
      </c>
      <c r="L20" t="n">
        <v>440</v>
      </c>
      <c r="M20" t="n">
        <v>148</v>
      </c>
      <c r="N20" t="n">
        <v>78268</v>
      </c>
      <c r="O20" t="n">
        <v>78120</v>
      </c>
      <c r="P20" t="n">
        <v>14720</v>
      </c>
      <c r="Q20" t="n">
        <v>-14572</v>
      </c>
      <c r="R20" t="n">
        <v>78268</v>
      </c>
      <c r="S20" t="n">
        <v>420.7956989247312</v>
      </c>
      <c r="T20" t="inlineStr">
        <is>
          <t>Below Reorder Point</t>
        </is>
      </c>
    </row>
    <row r="21">
      <c r="A21" t="n">
        <v>20</v>
      </c>
      <c r="B21" t="inlineStr">
        <is>
          <t>Mar</t>
        </is>
      </c>
      <c r="C21" t="inlineStr">
        <is>
          <t>Gears</t>
        </is>
      </c>
      <c r="D21" t="inlineStr">
        <is>
          <t>South</t>
        </is>
      </c>
      <c r="E21" t="n">
        <v>1315</v>
      </c>
      <c r="F21" t="n">
        <v>3900</v>
      </c>
      <c r="G21" t="n">
        <v>3464</v>
      </c>
      <c r="H21" t="n">
        <v>1751</v>
      </c>
      <c r="I21" t="n">
        <v>190</v>
      </c>
      <c r="J21" t="n">
        <v>215</v>
      </c>
      <c r="K21" t="n">
        <v>440</v>
      </c>
      <c r="L21" t="n">
        <v>460</v>
      </c>
      <c r="M21" t="n">
        <v>151</v>
      </c>
      <c r="N21" t="n">
        <v>83751</v>
      </c>
      <c r="O21" t="n">
        <v>83600</v>
      </c>
      <c r="P21" t="n">
        <v>15300</v>
      </c>
      <c r="Q21" t="n">
        <v>-15149</v>
      </c>
      <c r="R21" t="n">
        <v>83751</v>
      </c>
      <c r="S21" t="n">
        <v>440.7947368421052</v>
      </c>
      <c r="T21" t="inlineStr">
        <is>
          <t>Below Reorder Point</t>
        </is>
      </c>
    </row>
    <row r="22">
      <c r="A22" t="n">
        <v>21</v>
      </c>
      <c r="B22" t="inlineStr">
        <is>
          <t>Mar</t>
        </is>
      </c>
      <c r="C22" t="inlineStr">
        <is>
          <t>Gears</t>
        </is>
      </c>
      <c r="D22" t="inlineStr">
        <is>
          <t>West</t>
        </is>
      </c>
      <c r="E22" t="n">
        <v>1340</v>
      </c>
      <c r="F22" t="n">
        <v>3980</v>
      </c>
      <c r="G22" t="n">
        <v>3556</v>
      </c>
      <c r="H22" t="n">
        <v>1764</v>
      </c>
      <c r="I22" t="n">
        <v>194</v>
      </c>
      <c r="J22" t="n">
        <v>219</v>
      </c>
      <c r="K22" t="n">
        <v>460</v>
      </c>
      <c r="L22" t="n">
        <v>480</v>
      </c>
      <c r="M22" t="n">
        <v>154</v>
      </c>
      <c r="N22" t="n">
        <v>89394</v>
      </c>
      <c r="O22" t="n">
        <v>89240</v>
      </c>
      <c r="P22" t="n">
        <v>15880</v>
      </c>
      <c r="Q22" t="n">
        <v>-15726</v>
      </c>
      <c r="R22" t="n">
        <v>89394</v>
      </c>
      <c r="S22" t="n">
        <v>460.7938144329897</v>
      </c>
      <c r="T22" t="inlineStr">
        <is>
          <t>Below Reorder Point</t>
        </is>
      </c>
    </row>
    <row r="23">
      <c r="A23" t="n">
        <v>22</v>
      </c>
      <c r="B23" t="inlineStr">
        <is>
          <t>Mar</t>
        </is>
      </c>
      <c r="C23" t="inlineStr">
        <is>
          <t>Shafts</t>
        </is>
      </c>
      <c r="D23" t="inlineStr">
        <is>
          <t>North</t>
        </is>
      </c>
      <c r="E23" t="n">
        <v>1040</v>
      </c>
      <c r="F23" t="n">
        <v>3190</v>
      </c>
      <c r="G23" t="n">
        <v>2778</v>
      </c>
      <c r="H23" t="n">
        <v>1452</v>
      </c>
      <c r="I23" t="n">
        <v>153</v>
      </c>
      <c r="J23" t="n">
        <v>182</v>
      </c>
      <c r="K23" t="n">
        <v>360</v>
      </c>
      <c r="L23" t="n">
        <v>380</v>
      </c>
      <c r="M23" t="n">
        <v>135</v>
      </c>
      <c r="N23" t="n">
        <v>55215</v>
      </c>
      <c r="O23" t="n">
        <v>55080</v>
      </c>
      <c r="P23" t="n">
        <v>14080</v>
      </c>
      <c r="Q23" t="n">
        <v>-13945</v>
      </c>
      <c r="R23" t="n">
        <v>55215</v>
      </c>
      <c r="S23" t="n">
        <v>360.8823529411765</v>
      </c>
      <c r="T23" t="inlineStr">
        <is>
          <t>Below Reorder Point</t>
        </is>
      </c>
    </row>
    <row r="24">
      <c r="A24" t="n">
        <v>23</v>
      </c>
      <c r="B24" t="inlineStr">
        <is>
          <t>Mar</t>
        </is>
      </c>
      <c r="C24" t="inlineStr">
        <is>
          <t>Shafts</t>
        </is>
      </c>
      <c r="D24" t="inlineStr">
        <is>
          <t>South</t>
        </is>
      </c>
      <c r="E24" t="n">
        <v>1065</v>
      </c>
      <c r="F24" t="n">
        <v>3270</v>
      </c>
      <c r="G24" t="n">
        <v>2870</v>
      </c>
      <c r="H24" t="n">
        <v>1465</v>
      </c>
      <c r="I24" t="n">
        <v>157</v>
      </c>
      <c r="J24" t="n">
        <v>186</v>
      </c>
      <c r="K24" t="n">
        <v>380</v>
      </c>
      <c r="L24" t="n">
        <v>400</v>
      </c>
      <c r="M24" t="n">
        <v>138</v>
      </c>
      <c r="N24" t="n">
        <v>59798</v>
      </c>
      <c r="O24" t="n">
        <v>59660</v>
      </c>
      <c r="P24" t="n">
        <v>14740</v>
      </c>
      <c r="Q24" t="n">
        <v>-14602</v>
      </c>
      <c r="R24" t="n">
        <v>59798</v>
      </c>
      <c r="S24" t="n">
        <v>380.8789808917197</v>
      </c>
      <c r="T24" t="inlineStr">
        <is>
          <t>Below Reorder Point</t>
        </is>
      </c>
    </row>
    <row r="25">
      <c r="A25" t="n">
        <v>24</v>
      </c>
      <c r="B25" t="inlineStr">
        <is>
          <t>Mar</t>
        </is>
      </c>
      <c r="C25" t="inlineStr">
        <is>
          <t>Shafts</t>
        </is>
      </c>
      <c r="D25" t="inlineStr">
        <is>
          <t>West</t>
        </is>
      </c>
      <c r="E25" t="n">
        <v>1090</v>
      </c>
      <c r="F25" t="n">
        <v>3350</v>
      </c>
      <c r="G25" t="n">
        <v>2962</v>
      </c>
      <c r="H25" t="n">
        <v>1478</v>
      </c>
      <c r="I25" t="n">
        <v>161</v>
      </c>
      <c r="J25" t="n">
        <v>190</v>
      </c>
      <c r="K25" t="n">
        <v>400</v>
      </c>
      <c r="L25" t="n">
        <v>420</v>
      </c>
      <c r="M25" t="n">
        <v>141</v>
      </c>
      <c r="N25" t="n">
        <v>64541</v>
      </c>
      <c r="O25" t="n">
        <v>64400</v>
      </c>
      <c r="P25" t="n">
        <v>15400</v>
      </c>
      <c r="Q25" t="n">
        <v>-15259</v>
      </c>
      <c r="R25" t="n">
        <v>64541</v>
      </c>
      <c r="S25" t="n">
        <v>400.8757763975156</v>
      </c>
      <c r="T25" t="inlineStr">
        <is>
          <t>Below Reorder Point</t>
        </is>
      </c>
    </row>
    <row r="26">
      <c r="A26" t="n">
        <v>25</v>
      </c>
      <c r="B26" t="inlineStr">
        <is>
          <t>Mar</t>
        </is>
      </c>
      <c r="C26" t="inlineStr">
        <is>
          <t>Bearings</t>
        </is>
      </c>
      <c r="D26" t="inlineStr">
        <is>
          <t>North</t>
        </is>
      </c>
      <c r="E26" t="n">
        <v>890</v>
      </c>
      <c r="F26" t="n">
        <v>2760</v>
      </c>
      <c r="G26" t="n">
        <v>2364</v>
      </c>
      <c r="H26" t="n">
        <v>1286</v>
      </c>
      <c r="I26" t="n">
        <v>130</v>
      </c>
      <c r="J26" t="n">
        <v>163</v>
      </c>
      <c r="K26" t="n">
        <v>300</v>
      </c>
      <c r="L26" t="n">
        <v>320</v>
      </c>
      <c r="M26" t="n">
        <v>122</v>
      </c>
      <c r="N26" t="n">
        <v>39122</v>
      </c>
      <c r="O26" t="n">
        <v>39000</v>
      </c>
      <c r="P26" t="n">
        <v>13160</v>
      </c>
      <c r="Q26" t="n">
        <v>-13038</v>
      </c>
      <c r="R26" t="n">
        <v>39122</v>
      </c>
      <c r="S26" t="n">
        <v>300.9384615384615</v>
      </c>
      <c r="T26" t="inlineStr">
        <is>
          <t>Below Reorder Point</t>
        </is>
      </c>
    </row>
    <row r="27">
      <c r="A27" t="n">
        <v>26</v>
      </c>
      <c r="B27" t="inlineStr">
        <is>
          <t>Mar</t>
        </is>
      </c>
      <c r="C27" t="inlineStr">
        <is>
          <t>Bearings</t>
        </is>
      </c>
      <c r="D27" t="inlineStr">
        <is>
          <t>South</t>
        </is>
      </c>
      <c r="E27" t="n">
        <v>915</v>
      </c>
      <c r="F27" t="n">
        <v>2840</v>
      </c>
      <c r="G27" t="n">
        <v>2456</v>
      </c>
      <c r="H27" t="n">
        <v>1299</v>
      </c>
      <c r="I27" t="n">
        <v>134</v>
      </c>
      <c r="J27" t="n">
        <v>167</v>
      </c>
      <c r="K27" t="n">
        <v>320</v>
      </c>
      <c r="L27" t="n">
        <v>340</v>
      </c>
      <c r="M27" t="n">
        <v>125</v>
      </c>
      <c r="N27" t="n">
        <v>43005</v>
      </c>
      <c r="O27" t="n">
        <v>42880</v>
      </c>
      <c r="P27" t="n">
        <v>13900</v>
      </c>
      <c r="Q27" t="n">
        <v>-13775</v>
      </c>
      <c r="R27" t="n">
        <v>43005</v>
      </c>
      <c r="S27" t="n">
        <v>320.9328358208955</v>
      </c>
      <c r="T27" t="inlineStr">
        <is>
          <t>Below Reorder Point</t>
        </is>
      </c>
    </row>
    <row r="28">
      <c r="A28" t="n">
        <v>27</v>
      </c>
      <c r="B28" t="inlineStr">
        <is>
          <t>Mar</t>
        </is>
      </c>
      <c r="C28" t="inlineStr">
        <is>
          <t>Bearings</t>
        </is>
      </c>
      <c r="D28" t="inlineStr">
        <is>
          <t>West</t>
        </is>
      </c>
      <c r="E28" t="n">
        <v>940</v>
      </c>
      <c r="F28" t="n">
        <v>2920</v>
      </c>
      <c r="G28" t="n">
        <v>2548</v>
      </c>
      <c r="H28" t="n">
        <v>1312</v>
      </c>
      <c r="I28" t="n">
        <v>138</v>
      </c>
      <c r="J28" t="n">
        <v>171</v>
      </c>
      <c r="K28" t="n">
        <v>340</v>
      </c>
      <c r="L28" t="n">
        <v>360</v>
      </c>
      <c r="M28" t="n">
        <v>128</v>
      </c>
      <c r="N28" t="n">
        <v>47048</v>
      </c>
      <c r="O28" t="n">
        <v>46920</v>
      </c>
      <c r="P28" t="n">
        <v>14640</v>
      </c>
      <c r="Q28" t="n">
        <v>-14512</v>
      </c>
      <c r="R28" t="n">
        <v>47048</v>
      </c>
      <c r="S28" t="n">
        <v>340.9275362318841</v>
      </c>
      <c r="T28" t="inlineStr">
        <is>
          <t>Below Reorder Point</t>
        </is>
      </c>
    </row>
    <row r="29">
      <c r="A29" t="n">
        <v>28</v>
      </c>
      <c r="B29" t="inlineStr">
        <is>
          <t>Apr</t>
        </is>
      </c>
      <c r="C29" t="inlineStr">
        <is>
          <t>Gears</t>
        </is>
      </c>
      <c r="D29" t="inlineStr">
        <is>
          <t>North</t>
        </is>
      </c>
      <c r="E29" t="n">
        <v>1335</v>
      </c>
      <c r="F29" t="n">
        <v>3880</v>
      </c>
      <c r="G29" t="n">
        <v>3438</v>
      </c>
      <c r="H29" t="n">
        <v>1777</v>
      </c>
      <c r="I29" t="n">
        <v>189</v>
      </c>
      <c r="J29" t="n">
        <v>214</v>
      </c>
      <c r="K29" t="n">
        <v>430</v>
      </c>
      <c r="L29" t="n">
        <v>450</v>
      </c>
      <c r="M29" t="n">
        <v>152</v>
      </c>
      <c r="N29" t="n">
        <v>81422</v>
      </c>
      <c r="O29" t="n">
        <v>81270</v>
      </c>
      <c r="P29" t="n">
        <v>15030</v>
      </c>
      <c r="Q29" t="n">
        <v>-14878</v>
      </c>
      <c r="R29" t="n">
        <v>81422</v>
      </c>
      <c r="S29" t="n">
        <v>430.8042328042328</v>
      </c>
      <c r="T29" t="inlineStr">
        <is>
          <t>Below Reorder Point</t>
        </is>
      </c>
    </row>
    <row r="30">
      <c r="A30" t="n">
        <v>29</v>
      </c>
      <c r="B30" t="inlineStr">
        <is>
          <t>Apr</t>
        </is>
      </c>
      <c r="C30" t="inlineStr">
        <is>
          <t>Gears</t>
        </is>
      </c>
      <c r="D30" t="inlineStr">
        <is>
          <t>South</t>
        </is>
      </c>
      <c r="E30" t="n">
        <v>1360</v>
      </c>
      <c r="F30" t="n">
        <v>3960</v>
      </c>
      <c r="G30" t="n">
        <v>3530</v>
      </c>
      <c r="H30" t="n">
        <v>1790</v>
      </c>
      <c r="I30" t="n">
        <v>193</v>
      </c>
      <c r="J30" t="n">
        <v>218</v>
      </c>
      <c r="K30" t="n">
        <v>450</v>
      </c>
      <c r="L30" t="n">
        <v>470</v>
      </c>
      <c r="M30" t="n">
        <v>155</v>
      </c>
      <c r="N30" t="n">
        <v>87005</v>
      </c>
      <c r="O30" t="n">
        <v>86850</v>
      </c>
      <c r="P30" t="n">
        <v>15610</v>
      </c>
      <c r="Q30" t="n">
        <v>-15455</v>
      </c>
      <c r="R30" t="n">
        <v>87005</v>
      </c>
      <c r="S30" t="n">
        <v>450.8031088082902</v>
      </c>
      <c r="T30" t="inlineStr">
        <is>
          <t>Below Reorder Point</t>
        </is>
      </c>
    </row>
    <row r="31">
      <c r="A31" t="n">
        <v>30</v>
      </c>
      <c r="B31" t="inlineStr">
        <is>
          <t>Apr</t>
        </is>
      </c>
      <c r="C31" t="inlineStr">
        <is>
          <t>Gears</t>
        </is>
      </c>
      <c r="D31" t="inlineStr">
        <is>
          <t>West</t>
        </is>
      </c>
      <c r="E31" t="n">
        <v>1385</v>
      </c>
      <c r="F31" t="n">
        <v>4040</v>
      </c>
      <c r="G31" t="n">
        <v>3622</v>
      </c>
      <c r="H31" t="n">
        <v>1803</v>
      </c>
      <c r="I31" t="n">
        <v>197</v>
      </c>
      <c r="J31" t="n">
        <v>222</v>
      </c>
      <c r="K31" t="n">
        <v>470</v>
      </c>
      <c r="L31" t="n">
        <v>490</v>
      </c>
      <c r="M31" t="n">
        <v>158</v>
      </c>
      <c r="N31" t="n">
        <v>92748</v>
      </c>
      <c r="O31" t="n">
        <v>92590</v>
      </c>
      <c r="P31" t="n">
        <v>16190</v>
      </c>
      <c r="Q31" t="n">
        <v>-16032</v>
      </c>
      <c r="R31" t="n">
        <v>92748</v>
      </c>
      <c r="S31" t="n">
        <v>470.8020304568528</v>
      </c>
      <c r="T31" t="inlineStr">
        <is>
          <t>Below Reorder Point</t>
        </is>
      </c>
    </row>
    <row r="32">
      <c r="A32" t="n">
        <v>31</v>
      </c>
      <c r="B32" t="inlineStr">
        <is>
          <t>Apr</t>
        </is>
      </c>
      <c r="C32" t="inlineStr">
        <is>
          <t>Shafts</t>
        </is>
      </c>
      <c r="D32" t="inlineStr">
        <is>
          <t>North</t>
        </is>
      </c>
      <c r="E32" t="n">
        <v>1085</v>
      </c>
      <c r="F32" t="n">
        <v>3250</v>
      </c>
      <c r="G32" t="n">
        <v>2844</v>
      </c>
      <c r="H32" t="n">
        <v>1491</v>
      </c>
      <c r="I32" t="n">
        <v>156</v>
      </c>
      <c r="J32" t="n">
        <v>185</v>
      </c>
      <c r="K32" t="n">
        <v>370</v>
      </c>
      <c r="L32" t="n">
        <v>390</v>
      </c>
      <c r="M32" t="n">
        <v>139</v>
      </c>
      <c r="N32" t="n">
        <v>57859</v>
      </c>
      <c r="O32" t="n">
        <v>57720</v>
      </c>
      <c r="P32" t="n">
        <v>14430</v>
      </c>
      <c r="Q32" t="n">
        <v>-14291</v>
      </c>
      <c r="R32" t="n">
        <v>57859</v>
      </c>
      <c r="S32" t="n">
        <v>370.8910256410256</v>
      </c>
      <c r="T32" t="inlineStr">
        <is>
          <t>Below Reorder Point</t>
        </is>
      </c>
    </row>
    <row r="33">
      <c r="A33" t="n">
        <v>32</v>
      </c>
      <c r="B33" t="inlineStr">
        <is>
          <t>Apr</t>
        </is>
      </c>
      <c r="C33" t="inlineStr">
        <is>
          <t>Shafts</t>
        </is>
      </c>
      <c r="D33" t="inlineStr">
        <is>
          <t>South</t>
        </is>
      </c>
      <c r="E33" t="n">
        <v>1110</v>
      </c>
      <c r="F33" t="n">
        <v>3330</v>
      </c>
      <c r="G33" t="n">
        <v>2936</v>
      </c>
      <c r="H33" t="n">
        <v>1504</v>
      </c>
      <c r="I33" t="n">
        <v>160</v>
      </c>
      <c r="J33" t="n">
        <v>189</v>
      </c>
      <c r="K33" t="n">
        <v>390</v>
      </c>
      <c r="L33" t="n">
        <v>410</v>
      </c>
      <c r="M33" t="n">
        <v>142</v>
      </c>
      <c r="N33" t="n">
        <v>62542</v>
      </c>
      <c r="O33" t="n">
        <v>62400</v>
      </c>
      <c r="P33" t="n">
        <v>15090</v>
      </c>
      <c r="Q33" t="n">
        <v>-14948</v>
      </c>
      <c r="R33" t="n">
        <v>62542</v>
      </c>
      <c r="S33" t="n">
        <v>390.8875</v>
      </c>
      <c r="T33" t="inlineStr">
        <is>
          <t>Below Reorder Point</t>
        </is>
      </c>
    </row>
    <row r="34">
      <c r="A34" t="n">
        <v>33</v>
      </c>
      <c r="B34" t="inlineStr">
        <is>
          <t>Apr</t>
        </is>
      </c>
      <c r="C34" t="inlineStr">
        <is>
          <t>Shafts</t>
        </is>
      </c>
      <c r="D34" t="inlineStr">
        <is>
          <t>West</t>
        </is>
      </c>
      <c r="E34" t="n">
        <v>1135</v>
      </c>
      <c r="F34" t="n">
        <v>3410</v>
      </c>
      <c r="G34" t="n">
        <v>3028</v>
      </c>
      <c r="H34" t="n">
        <v>1517</v>
      </c>
      <c r="I34" t="n">
        <v>164</v>
      </c>
      <c r="J34" t="n">
        <v>193</v>
      </c>
      <c r="K34" t="n">
        <v>410</v>
      </c>
      <c r="L34" t="n">
        <v>430</v>
      </c>
      <c r="M34" t="n">
        <v>145</v>
      </c>
      <c r="N34" t="n">
        <v>67385</v>
      </c>
      <c r="O34" t="n">
        <v>67240</v>
      </c>
      <c r="P34" t="n">
        <v>15750</v>
      </c>
      <c r="Q34" t="n">
        <v>-15605</v>
      </c>
      <c r="R34" t="n">
        <v>67385</v>
      </c>
      <c r="S34" t="n">
        <v>410.8841463414634</v>
      </c>
      <c r="T34" t="inlineStr">
        <is>
          <t>Below Reorder Point</t>
        </is>
      </c>
    </row>
    <row r="35">
      <c r="A35" t="n">
        <v>34</v>
      </c>
      <c r="B35" t="inlineStr">
        <is>
          <t>Apr</t>
        </is>
      </c>
      <c r="C35" t="inlineStr">
        <is>
          <t>Bearings</t>
        </is>
      </c>
      <c r="D35" t="inlineStr">
        <is>
          <t>North</t>
        </is>
      </c>
      <c r="E35" t="n">
        <v>935</v>
      </c>
      <c r="F35" t="n">
        <v>2820</v>
      </c>
      <c r="G35" t="n">
        <v>2430</v>
      </c>
      <c r="H35" t="n">
        <v>1325</v>
      </c>
      <c r="I35" t="n">
        <v>133</v>
      </c>
      <c r="J35" t="n">
        <v>166</v>
      </c>
      <c r="K35" t="n">
        <v>310</v>
      </c>
      <c r="L35" t="n">
        <v>330</v>
      </c>
      <c r="M35" t="n">
        <v>126</v>
      </c>
      <c r="N35" t="n">
        <v>41356</v>
      </c>
      <c r="O35" t="n">
        <v>41230</v>
      </c>
      <c r="P35" t="n">
        <v>13550</v>
      </c>
      <c r="Q35" t="n">
        <v>-13424</v>
      </c>
      <c r="R35" t="n">
        <v>41356</v>
      </c>
      <c r="S35" t="n">
        <v>310.9473684210527</v>
      </c>
      <c r="T35" t="inlineStr">
        <is>
          <t>Below Reorder Point</t>
        </is>
      </c>
    </row>
    <row r="36">
      <c r="A36" t="n">
        <v>35</v>
      </c>
      <c r="B36" t="inlineStr">
        <is>
          <t>Apr</t>
        </is>
      </c>
      <c r="C36" t="inlineStr">
        <is>
          <t>Bearings</t>
        </is>
      </c>
      <c r="D36" t="inlineStr">
        <is>
          <t>South</t>
        </is>
      </c>
      <c r="E36" t="n">
        <v>960</v>
      </c>
      <c r="F36" t="n">
        <v>2900</v>
      </c>
      <c r="G36" t="n">
        <v>2522</v>
      </c>
      <c r="H36" t="n">
        <v>1338</v>
      </c>
      <c r="I36" t="n">
        <v>137</v>
      </c>
      <c r="J36" t="n">
        <v>170</v>
      </c>
      <c r="K36" t="n">
        <v>330</v>
      </c>
      <c r="L36" t="n">
        <v>350</v>
      </c>
      <c r="M36" t="n">
        <v>129</v>
      </c>
      <c r="N36" t="n">
        <v>45339</v>
      </c>
      <c r="O36" t="n">
        <v>45210</v>
      </c>
      <c r="P36" t="n">
        <v>14290</v>
      </c>
      <c r="Q36" t="n">
        <v>-14161</v>
      </c>
      <c r="R36" t="n">
        <v>45339</v>
      </c>
      <c r="S36" t="n">
        <v>330.9416058394161</v>
      </c>
      <c r="T36" t="inlineStr">
        <is>
          <t>Below Reorder Point</t>
        </is>
      </c>
    </row>
    <row r="37">
      <c r="A37" t="n">
        <v>36</v>
      </c>
      <c r="B37" t="inlineStr">
        <is>
          <t>Apr</t>
        </is>
      </c>
      <c r="C37" t="inlineStr">
        <is>
          <t>Bearings</t>
        </is>
      </c>
      <c r="D37" t="inlineStr">
        <is>
          <t>West</t>
        </is>
      </c>
      <c r="E37" t="n">
        <v>985</v>
      </c>
      <c r="F37" t="n">
        <v>2980</v>
      </c>
      <c r="G37" t="n">
        <v>2614</v>
      </c>
      <c r="H37" t="n">
        <v>1351</v>
      </c>
      <c r="I37" t="n">
        <v>141</v>
      </c>
      <c r="J37" t="n">
        <v>174</v>
      </c>
      <c r="K37" t="n">
        <v>350</v>
      </c>
      <c r="L37" t="n">
        <v>370</v>
      </c>
      <c r="M37" t="n">
        <v>132</v>
      </c>
      <c r="N37" t="n">
        <v>49482</v>
      </c>
      <c r="O37" t="n">
        <v>49350</v>
      </c>
      <c r="P37" t="n">
        <v>15030</v>
      </c>
      <c r="Q37" t="n">
        <v>-14898</v>
      </c>
      <c r="R37" t="n">
        <v>49482</v>
      </c>
      <c r="S37" t="n">
        <v>350.9361702127659</v>
      </c>
      <c r="T37" t="inlineStr">
        <is>
          <t>Below Reorder Point</t>
        </is>
      </c>
    </row>
    <row r="38">
      <c r="A38" t="n">
        <v>37</v>
      </c>
      <c r="B38" t="inlineStr">
        <is>
          <t>May</t>
        </is>
      </c>
      <c r="C38" t="inlineStr">
        <is>
          <t>Gears</t>
        </is>
      </c>
      <c r="D38" t="inlineStr">
        <is>
          <t>North</t>
        </is>
      </c>
      <c r="E38" t="n">
        <v>1380</v>
      </c>
      <c r="F38" t="n">
        <v>3940</v>
      </c>
      <c r="G38" t="n">
        <v>3504</v>
      </c>
      <c r="H38" t="n">
        <v>1816</v>
      </c>
      <c r="I38" t="n">
        <v>192</v>
      </c>
      <c r="J38" t="n">
        <v>217</v>
      </c>
      <c r="K38" t="n">
        <v>420</v>
      </c>
      <c r="L38" t="n">
        <v>440</v>
      </c>
      <c r="M38" t="n">
        <v>156</v>
      </c>
      <c r="N38" t="n">
        <v>80796</v>
      </c>
      <c r="O38" t="n">
        <v>80640</v>
      </c>
      <c r="P38" t="n">
        <v>14840</v>
      </c>
      <c r="Q38" t="n">
        <v>-14684</v>
      </c>
      <c r="R38" t="n">
        <v>80796</v>
      </c>
      <c r="S38" t="n">
        <v>420.8125</v>
      </c>
      <c r="T38" t="inlineStr">
        <is>
          <t>Below Reorder Point</t>
        </is>
      </c>
    </row>
    <row r="39">
      <c r="A39" t="n">
        <v>38</v>
      </c>
      <c r="B39" t="inlineStr">
        <is>
          <t>May</t>
        </is>
      </c>
      <c r="C39" t="inlineStr">
        <is>
          <t>Gears</t>
        </is>
      </c>
      <c r="D39" t="inlineStr">
        <is>
          <t>South</t>
        </is>
      </c>
      <c r="E39" t="n">
        <v>1405</v>
      </c>
      <c r="F39" t="n">
        <v>4020</v>
      </c>
      <c r="G39" t="n">
        <v>3596</v>
      </c>
      <c r="H39" t="n">
        <v>1829</v>
      </c>
      <c r="I39" t="n">
        <v>196</v>
      </c>
      <c r="J39" t="n">
        <v>221</v>
      </c>
      <c r="K39" t="n">
        <v>440</v>
      </c>
      <c r="L39" t="n">
        <v>460</v>
      </c>
      <c r="M39" t="n">
        <v>159</v>
      </c>
      <c r="N39" t="n">
        <v>86399</v>
      </c>
      <c r="O39" t="n">
        <v>86240</v>
      </c>
      <c r="P39" t="n">
        <v>15420</v>
      </c>
      <c r="Q39" t="n">
        <v>-15261</v>
      </c>
      <c r="R39" t="n">
        <v>86399</v>
      </c>
      <c r="S39" t="n">
        <v>440.8112244897959</v>
      </c>
      <c r="T39" t="inlineStr">
        <is>
          <t>Below Reorder Point</t>
        </is>
      </c>
    </row>
    <row r="40">
      <c r="A40" t="n">
        <v>39</v>
      </c>
      <c r="B40" t="inlineStr">
        <is>
          <t>May</t>
        </is>
      </c>
      <c r="C40" t="inlineStr">
        <is>
          <t>Gears</t>
        </is>
      </c>
      <c r="D40" t="inlineStr">
        <is>
          <t>West</t>
        </is>
      </c>
      <c r="E40" t="n">
        <v>1430</v>
      </c>
      <c r="F40" t="n">
        <v>4100</v>
      </c>
      <c r="G40" t="n">
        <v>3688</v>
      </c>
      <c r="H40" t="n">
        <v>1842</v>
      </c>
      <c r="I40" t="n">
        <v>200</v>
      </c>
      <c r="J40" t="n">
        <v>225</v>
      </c>
      <c r="K40" t="n">
        <v>460</v>
      </c>
      <c r="L40" t="n">
        <v>480</v>
      </c>
      <c r="M40" t="n">
        <v>162</v>
      </c>
      <c r="N40" t="n">
        <v>92162</v>
      </c>
      <c r="O40" t="n">
        <v>92000</v>
      </c>
      <c r="P40" t="n">
        <v>16000</v>
      </c>
      <c r="Q40" t="n">
        <v>-15838</v>
      </c>
      <c r="R40" t="n">
        <v>92162</v>
      </c>
      <c r="S40" t="n">
        <v>460.81</v>
      </c>
      <c r="T40" t="inlineStr">
        <is>
          <t>Below Reorder Point</t>
        </is>
      </c>
    </row>
    <row r="41">
      <c r="A41" t="n">
        <v>40</v>
      </c>
      <c r="B41" t="inlineStr">
        <is>
          <t>May</t>
        </is>
      </c>
      <c r="C41" t="inlineStr">
        <is>
          <t>Shafts</t>
        </is>
      </c>
      <c r="D41" t="inlineStr">
        <is>
          <t>North</t>
        </is>
      </c>
      <c r="E41" t="n">
        <v>1130</v>
      </c>
      <c r="F41" t="n">
        <v>3310</v>
      </c>
      <c r="G41" t="n">
        <v>2910</v>
      </c>
      <c r="H41" t="n">
        <v>1530</v>
      </c>
      <c r="I41" t="n">
        <v>159</v>
      </c>
      <c r="J41" t="n">
        <v>188</v>
      </c>
      <c r="K41" t="n">
        <v>360</v>
      </c>
      <c r="L41" t="n">
        <v>380</v>
      </c>
      <c r="M41" t="n">
        <v>143</v>
      </c>
      <c r="N41" t="n">
        <v>57383</v>
      </c>
      <c r="O41" t="n">
        <v>57240</v>
      </c>
      <c r="P41" t="n">
        <v>14200</v>
      </c>
      <c r="Q41" t="n">
        <v>-14057</v>
      </c>
      <c r="R41" t="n">
        <v>57383</v>
      </c>
      <c r="S41" t="n">
        <v>360.8993710691824</v>
      </c>
      <c r="T41" t="inlineStr">
        <is>
          <t>Below Reorder Point</t>
        </is>
      </c>
    </row>
    <row r="42">
      <c r="A42" t="n">
        <v>41</v>
      </c>
      <c r="B42" t="inlineStr">
        <is>
          <t>May</t>
        </is>
      </c>
      <c r="C42" t="inlineStr">
        <is>
          <t>Shafts</t>
        </is>
      </c>
      <c r="D42" t="inlineStr">
        <is>
          <t>South</t>
        </is>
      </c>
      <c r="E42" t="n">
        <v>1155</v>
      </c>
      <c r="F42" t="n">
        <v>3390</v>
      </c>
      <c r="G42" t="n">
        <v>3002</v>
      </c>
      <c r="H42" t="n">
        <v>1543</v>
      </c>
      <c r="I42" t="n">
        <v>163</v>
      </c>
      <c r="J42" t="n">
        <v>192</v>
      </c>
      <c r="K42" t="n">
        <v>380</v>
      </c>
      <c r="L42" t="n">
        <v>400</v>
      </c>
      <c r="M42" t="n">
        <v>146</v>
      </c>
      <c r="N42" t="n">
        <v>62086</v>
      </c>
      <c r="O42" t="n">
        <v>61940</v>
      </c>
      <c r="P42" t="n">
        <v>14860</v>
      </c>
      <c r="Q42" t="n">
        <v>-14714</v>
      </c>
      <c r="R42" t="n">
        <v>62086</v>
      </c>
      <c r="S42" t="n">
        <v>380.8957055214724</v>
      </c>
      <c r="T42" t="inlineStr">
        <is>
          <t>Below Reorder Point</t>
        </is>
      </c>
    </row>
    <row r="43">
      <c r="A43" t="n">
        <v>42</v>
      </c>
      <c r="B43" t="inlineStr">
        <is>
          <t>May</t>
        </is>
      </c>
      <c r="C43" t="inlineStr">
        <is>
          <t>Shafts</t>
        </is>
      </c>
      <c r="D43" t="inlineStr">
        <is>
          <t>West</t>
        </is>
      </c>
      <c r="E43" t="n">
        <v>1180</v>
      </c>
      <c r="F43" t="n">
        <v>3470</v>
      </c>
      <c r="G43" t="n">
        <v>3094</v>
      </c>
      <c r="H43" t="n">
        <v>1556</v>
      </c>
      <c r="I43" t="n">
        <v>167</v>
      </c>
      <c r="J43" t="n">
        <v>196</v>
      </c>
      <c r="K43" t="n">
        <v>400</v>
      </c>
      <c r="L43" t="n">
        <v>420</v>
      </c>
      <c r="M43" t="n">
        <v>149</v>
      </c>
      <c r="N43" t="n">
        <v>66949</v>
      </c>
      <c r="O43" t="n">
        <v>66800</v>
      </c>
      <c r="P43" t="n">
        <v>15520</v>
      </c>
      <c r="Q43" t="n">
        <v>-15371</v>
      </c>
      <c r="R43" t="n">
        <v>66949</v>
      </c>
      <c r="S43" t="n">
        <v>400.8922155688623</v>
      </c>
      <c r="T43" t="inlineStr">
        <is>
          <t>Below Reorder Point</t>
        </is>
      </c>
    </row>
    <row r="44">
      <c r="A44" t="n">
        <v>43</v>
      </c>
      <c r="B44" t="inlineStr">
        <is>
          <t>May</t>
        </is>
      </c>
      <c r="C44" t="inlineStr">
        <is>
          <t>Bearings</t>
        </is>
      </c>
      <c r="D44" t="inlineStr">
        <is>
          <t>North</t>
        </is>
      </c>
      <c r="E44" t="n">
        <v>980</v>
      </c>
      <c r="F44" t="n">
        <v>2880</v>
      </c>
      <c r="G44" t="n">
        <v>2496</v>
      </c>
      <c r="H44" t="n">
        <v>1364</v>
      </c>
      <c r="I44" t="n">
        <v>136</v>
      </c>
      <c r="J44" t="n">
        <v>169</v>
      </c>
      <c r="K44" t="n">
        <v>300</v>
      </c>
      <c r="L44" t="n">
        <v>320</v>
      </c>
      <c r="M44" t="n">
        <v>130</v>
      </c>
      <c r="N44" t="n">
        <v>40930</v>
      </c>
      <c r="O44" t="n">
        <v>40800</v>
      </c>
      <c r="P44" t="n">
        <v>13280</v>
      </c>
      <c r="Q44" t="n">
        <v>-13150</v>
      </c>
      <c r="R44" t="n">
        <v>40930</v>
      </c>
      <c r="S44" t="n">
        <v>300.9558823529412</v>
      </c>
      <c r="T44" t="inlineStr">
        <is>
          <t>Below Reorder Point</t>
        </is>
      </c>
    </row>
    <row r="45">
      <c r="A45" t="n">
        <v>44</v>
      </c>
      <c r="B45" t="inlineStr">
        <is>
          <t>May</t>
        </is>
      </c>
      <c r="C45" t="inlineStr">
        <is>
          <t>Bearings</t>
        </is>
      </c>
      <c r="D45" t="inlineStr">
        <is>
          <t>South</t>
        </is>
      </c>
      <c r="E45" t="n">
        <v>1005</v>
      </c>
      <c r="F45" t="n">
        <v>2960</v>
      </c>
      <c r="G45" t="n">
        <v>2588</v>
      </c>
      <c r="H45" t="n">
        <v>1377</v>
      </c>
      <c r="I45" t="n">
        <v>140</v>
      </c>
      <c r="J45" t="n">
        <v>173</v>
      </c>
      <c r="K45" t="n">
        <v>320</v>
      </c>
      <c r="L45" t="n">
        <v>340</v>
      </c>
      <c r="M45" t="n">
        <v>133</v>
      </c>
      <c r="N45" t="n">
        <v>44933</v>
      </c>
      <c r="O45" t="n">
        <v>44800</v>
      </c>
      <c r="P45" t="n">
        <v>14020</v>
      </c>
      <c r="Q45" t="n">
        <v>-13887</v>
      </c>
      <c r="R45" t="n">
        <v>44933</v>
      </c>
      <c r="S45" t="n">
        <v>320.95</v>
      </c>
      <c r="T45" t="inlineStr">
        <is>
          <t>Below Reorder Point</t>
        </is>
      </c>
    </row>
    <row r="46">
      <c r="A46" t="n">
        <v>45</v>
      </c>
      <c r="B46" t="inlineStr">
        <is>
          <t>May</t>
        </is>
      </c>
      <c r="C46" t="inlineStr">
        <is>
          <t>Bearings</t>
        </is>
      </c>
      <c r="D46" t="inlineStr">
        <is>
          <t>West</t>
        </is>
      </c>
      <c r="E46" t="n">
        <v>1030</v>
      </c>
      <c r="F46" t="n">
        <v>3040</v>
      </c>
      <c r="G46" t="n">
        <v>2680</v>
      </c>
      <c r="H46" t="n">
        <v>1390</v>
      </c>
      <c r="I46" t="n">
        <v>144</v>
      </c>
      <c r="J46" t="n">
        <v>177</v>
      </c>
      <c r="K46" t="n">
        <v>340</v>
      </c>
      <c r="L46" t="n">
        <v>360</v>
      </c>
      <c r="M46" t="n">
        <v>136</v>
      </c>
      <c r="N46" t="n">
        <v>49096</v>
      </c>
      <c r="O46" t="n">
        <v>48960</v>
      </c>
      <c r="P46" t="n">
        <v>14760</v>
      </c>
      <c r="Q46" t="n">
        <v>-14624</v>
      </c>
      <c r="R46" t="n">
        <v>49096</v>
      </c>
      <c r="S46" t="n">
        <v>340.9444444444445</v>
      </c>
      <c r="T46" t="inlineStr">
        <is>
          <t>Below Reorder Point</t>
        </is>
      </c>
    </row>
    <row r="47">
      <c r="A47" t="n">
        <v>46</v>
      </c>
      <c r="B47" t="inlineStr">
        <is>
          <t>Jun</t>
        </is>
      </c>
      <c r="C47" t="inlineStr">
        <is>
          <t>Gears</t>
        </is>
      </c>
      <c r="D47" t="inlineStr">
        <is>
          <t>North</t>
        </is>
      </c>
      <c r="E47" t="n">
        <v>1425</v>
      </c>
      <c r="F47" t="n">
        <v>4000</v>
      </c>
      <c r="G47" t="n">
        <v>3570</v>
      </c>
      <c r="H47" t="n">
        <v>1855</v>
      </c>
      <c r="I47" t="n">
        <v>195</v>
      </c>
      <c r="J47" t="n">
        <v>220</v>
      </c>
      <c r="K47" t="n">
        <v>430</v>
      </c>
      <c r="L47" t="n">
        <v>450</v>
      </c>
      <c r="M47" t="n">
        <v>160</v>
      </c>
      <c r="N47" t="n">
        <v>84010</v>
      </c>
      <c r="O47" t="n">
        <v>83850</v>
      </c>
      <c r="P47" t="n">
        <v>15150</v>
      </c>
      <c r="Q47" t="n">
        <v>-14990</v>
      </c>
      <c r="R47" t="n">
        <v>84010</v>
      </c>
      <c r="S47" t="n">
        <v>430.8205128205128</v>
      </c>
      <c r="T47" t="inlineStr">
        <is>
          <t>Below Reorder Point</t>
        </is>
      </c>
    </row>
    <row r="48">
      <c r="A48" t="n">
        <v>47</v>
      </c>
      <c r="B48" t="inlineStr">
        <is>
          <t>Jun</t>
        </is>
      </c>
      <c r="C48" t="inlineStr">
        <is>
          <t>Gears</t>
        </is>
      </c>
      <c r="D48" t="inlineStr">
        <is>
          <t>South</t>
        </is>
      </c>
      <c r="E48" t="n">
        <v>1450</v>
      </c>
      <c r="F48" t="n">
        <v>4080</v>
      </c>
      <c r="G48" t="n">
        <v>3662</v>
      </c>
      <c r="H48" t="n">
        <v>1868</v>
      </c>
      <c r="I48" t="n">
        <v>199</v>
      </c>
      <c r="J48" t="n">
        <v>224</v>
      </c>
      <c r="K48" t="n">
        <v>450</v>
      </c>
      <c r="L48" t="n">
        <v>470</v>
      </c>
      <c r="M48" t="n">
        <v>163</v>
      </c>
      <c r="N48" t="n">
        <v>89713</v>
      </c>
      <c r="O48" t="n">
        <v>89550</v>
      </c>
      <c r="P48" t="n">
        <v>15730</v>
      </c>
      <c r="Q48" t="n">
        <v>-15567</v>
      </c>
      <c r="R48" t="n">
        <v>89713</v>
      </c>
      <c r="S48" t="n">
        <v>450.819095477387</v>
      </c>
      <c r="T48" t="inlineStr">
        <is>
          <t>Below Reorder Point</t>
        </is>
      </c>
    </row>
    <row r="49">
      <c r="A49" t="n">
        <v>48</v>
      </c>
      <c r="B49" t="inlineStr">
        <is>
          <t>Jun</t>
        </is>
      </c>
      <c r="C49" t="inlineStr">
        <is>
          <t>Gears</t>
        </is>
      </c>
      <c r="D49" t="inlineStr">
        <is>
          <t>West</t>
        </is>
      </c>
      <c r="E49" t="n">
        <v>1475</v>
      </c>
      <c r="F49" t="n">
        <v>4160</v>
      </c>
      <c r="G49" t="n">
        <v>3754</v>
      </c>
      <c r="H49" t="n">
        <v>1881</v>
      </c>
      <c r="I49" t="n">
        <v>203</v>
      </c>
      <c r="J49" t="n">
        <v>228</v>
      </c>
      <c r="K49" t="n">
        <v>470</v>
      </c>
      <c r="L49" t="n">
        <v>490</v>
      </c>
      <c r="M49" t="n">
        <v>166</v>
      </c>
      <c r="N49" t="n">
        <v>95576</v>
      </c>
      <c r="O49" t="n">
        <v>95410</v>
      </c>
      <c r="P49" t="n">
        <v>16310</v>
      </c>
      <c r="Q49" t="n">
        <v>-16144</v>
      </c>
      <c r="R49" t="n">
        <v>95576</v>
      </c>
      <c r="S49" t="n">
        <v>470.8177339901478</v>
      </c>
      <c r="T49" t="inlineStr">
        <is>
          <t>Below Reorder Point</t>
        </is>
      </c>
    </row>
    <row r="50">
      <c r="A50" t="n">
        <v>49</v>
      </c>
      <c r="B50" t="inlineStr">
        <is>
          <t>Jun</t>
        </is>
      </c>
      <c r="C50" t="inlineStr">
        <is>
          <t>Shafts</t>
        </is>
      </c>
      <c r="D50" t="inlineStr">
        <is>
          <t>North</t>
        </is>
      </c>
      <c r="E50" t="n">
        <v>1175</v>
      </c>
      <c r="F50" t="n">
        <v>3370</v>
      </c>
      <c r="G50" t="n">
        <v>2976</v>
      </c>
      <c r="H50" t="n">
        <v>1569</v>
      </c>
      <c r="I50" t="n">
        <v>162</v>
      </c>
      <c r="J50" t="n">
        <v>191</v>
      </c>
      <c r="K50" t="n">
        <v>370</v>
      </c>
      <c r="L50" t="n">
        <v>390</v>
      </c>
      <c r="M50" t="n">
        <v>147</v>
      </c>
      <c r="N50" t="n">
        <v>60087</v>
      </c>
      <c r="O50" t="n">
        <v>59940</v>
      </c>
      <c r="P50" t="n">
        <v>14550</v>
      </c>
      <c r="Q50" t="n">
        <v>-14403</v>
      </c>
      <c r="R50" t="n">
        <v>60087</v>
      </c>
      <c r="S50" t="n">
        <v>370.9074074074074</v>
      </c>
      <c r="T50" t="inlineStr">
        <is>
          <t>Below Reorder Point</t>
        </is>
      </c>
    </row>
    <row r="51">
      <c r="A51" t="n">
        <v>50</v>
      </c>
      <c r="B51" t="inlineStr">
        <is>
          <t>Jun</t>
        </is>
      </c>
      <c r="C51" t="inlineStr">
        <is>
          <t>Shafts</t>
        </is>
      </c>
      <c r="D51" t="inlineStr">
        <is>
          <t>South</t>
        </is>
      </c>
      <c r="E51" t="n">
        <v>1200</v>
      </c>
      <c r="F51" t="n">
        <v>3450</v>
      </c>
      <c r="G51" t="n">
        <v>3068</v>
      </c>
      <c r="H51" t="n">
        <v>1582</v>
      </c>
      <c r="I51" t="n">
        <v>166</v>
      </c>
      <c r="J51" t="n">
        <v>195</v>
      </c>
      <c r="K51" t="n">
        <v>390</v>
      </c>
      <c r="L51" t="n">
        <v>410</v>
      </c>
      <c r="M51" t="n">
        <v>150</v>
      </c>
      <c r="N51" t="n">
        <v>64890</v>
      </c>
      <c r="O51" t="n">
        <v>64740</v>
      </c>
      <c r="P51" t="n">
        <v>15210</v>
      </c>
      <c r="Q51" t="n">
        <v>-15060</v>
      </c>
      <c r="R51" t="n">
        <v>64890</v>
      </c>
      <c r="S51" t="n">
        <v>390.9036144578313</v>
      </c>
      <c r="T51" t="inlineStr">
        <is>
          <t>Below Reorder Point</t>
        </is>
      </c>
    </row>
    <row r="52">
      <c r="A52" t="n">
        <v>51</v>
      </c>
      <c r="B52" t="inlineStr">
        <is>
          <t>Jun</t>
        </is>
      </c>
      <c r="C52" t="inlineStr">
        <is>
          <t>Shafts</t>
        </is>
      </c>
      <c r="D52" t="inlineStr">
        <is>
          <t>West</t>
        </is>
      </c>
      <c r="E52" t="n">
        <v>1225</v>
      </c>
      <c r="F52" t="n">
        <v>3530</v>
      </c>
      <c r="G52" t="n">
        <v>3160</v>
      </c>
      <c r="H52" t="n">
        <v>1595</v>
      </c>
      <c r="I52" t="n">
        <v>170</v>
      </c>
      <c r="J52" t="n">
        <v>199</v>
      </c>
      <c r="K52" t="n">
        <v>410</v>
      </c>
      <c r="L52" t="n">
        <v>430</v>
      </c>
      <c r="M52" t="n">
        <v>153</v>
      </c>
      <c r="N52" t="n">
        <v>69853</v>
      </c>
      <c r="O52" t="n">
        <v>69700</v>
      </c>
      <c r="P52" t="n">
        <v>15870</v>
      </c>
      <c r="Q52" t="n">
        <v>-15717</v>
      </c>
      <c r="R52" t="n">
        <v>69853</v>
      </c>
      <c r="S52" t="n">
        <v>410.9</v>
      </c>
      <c r="T52" t="inlineStr">
        <is>
          <t>Below Reorder Point</t>
        </is>
      </c>
    </row>
    <row r="53">
      <c r="A53" t="n">
        <v>52</v>
      </c>
      <c r="B53" t="inlineStr">
        <is>
          <t>Jun</t>
        </is>
      </c>
      <c r="C53" t="inlineStr">
        <is>
          <t>Bearings</t>
        </is>
      </c>
      <c r="D53" t="inlineStr">
        <is>
          <t>North</t>
        </is>
      </c>
      <c r="E53" t="n">
        <v>1025</v>
      </c>
      <c r="F53" t="n">
        <v>2940</v>
      </c>
      <c r="G53" t="n">
        <v>2562</v>
      </c>
      <c r="H53" t="n">
        <v>1403</v>
      </c>
      <c r="I53" t="n">
        <v>139</v>
      </c>
      <c r="J53" t="n">
        <v>172</v>
      </c>
      <c r="K53" t="n">
        <v>310</v>
      </c>
      <c r="L53" t="n">
        <v>330</v>
      </c>
      <c r="M53" t="n">
        <v>134</v>
      </c>
      <c r="N53" t="n">
        <v>43224</v>
      </c>
      <c r="O53" t="n">
        <v>43090</v>
      </c>
      <c r="P53" t="n">
        <v>13670</v>
      </c>
      <c r="Q53" t="n">
        <v>-13536</v>
      </c>
      <c r="R53" t="n">
        <v>43224</v>
      </c>
      <c r="S53" t="n">
        <v>310.9640287769784</v>
      </c>
      <c r="T53" t="inlineStr">
        <is>
          <t>Below Reorder Point</t>
        </is>
      </c>
    </row>
    <row r="54">
      <c r="A54" t="n">
        <v>53</v>
      </c>
      <c r="B54" t="inlineStr">
        <is>
          <t>Jun</t>
        </is>
      </c>
      <c r="C54" t="inlineStr">
        <is>
          <t>Bearings</t>
        </is>
      </c>
      <c r="D54" t="inlineStr">
        <is>
          <t>South</t>
        </is>
      </c>
      <c r="E54" t="n">
        <v>1050</v>
      </c>
      <c r="F54" t="n">
        <v>3020</v>
      </c>
      <c r="G54" t="n">
        <v>2654</v>
      </c>
      <c r="H54" t="n">
        <v>1416</v>
      </c>
      <c r="I54" t="n">
        <v>143</v>
      </c>
      <c r="J54" t="n">
        <v>176</v>
      </c>
      <c r="K54" t="n">
        <v>330</v>
      </c>
      <c r="L54" t="n">
        <v>350</v>
      </c>
      <c r="M54" t="n">
        <v>137</v>
      </c>
      <c r="N54" t="n">
        <v>47327</v>
      </c>
      <c r="O54" t="n">
        <v>47190</v>
      </c>
      <c r="P54" t="n">
        <v>14410</v>
      </c>
      <c r="Q54" t="n">
        <v>-14273</v>
      </c>
      <c r="R54" t="n">
        <v>47327</v>
      </c>
      <c r="S54" t="n">
        <v>330.958041958042</v>
      </c>
      <c r="T54" t="inlineStr">
        <is>
          <t>Below Reorder Point</t>
        </is>
      </c>
    </row>
    <row r="55">
      <c r="A55" t="n">
        <v>54</v>
      </c>
      <c r="B55" t="inlineStr">
        <is>
          <t>Jun</t>
        </is>
      </c>
      <c r="C55" t="inlineStr">
        <is>
          <t>Bearings</t>
        </is>
      </c>
      <c r="D55" t="inlineStr">
        <is>
          <t>West</t>
        </is>
      </c>
      <c r="E55" t="n">
        <v>1075</v>
      </c>
      <c r="F55" t="n">
        <v>3100</v>
      </c>
      <c r="G55" t="n">
        <v>2746</v>
      </c>
      <c r="H55" t="n">
        <v>1429</v>
      </c>
      <c r="I55" t="n">
        <v>147</v>
      </c>
      <c r="J55" t="n">
        <v>180</v>
      </c>
      <c r="K55" t="n">
        <v>350</v>
      </c>
      <c r="L55" t="n">
        <v>370</v>
      </c>
      <c r="M55" t="n">
        <v>140</v>
      </c>
      <c r="N55" t="n">
        <v>51590</v>
      </c>
      <c r="O55" t="n">
        <v>51450</v>
      </c>
      <c r="P55" t="n">
        <v>15150</v>
      </c>
      <c r="Q55" t="n">
        <v>-15010</v>
      </c>
      <c r="R55" t="n">
        <v>51590</v>
      </c>
      <c r="S55" t="n">
        <v>350.952380952381</v>
      </c>
      <c r="T55" t="inlineStr">
        <is>
          <t>Below Reorder Point</t>
        </is>
      </c>
    </row>
  </sheetData>
  <autoFilter ref="A1:T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15" customWidth="1" min="4" max="4"/>
    <col width="16" customWidth="1" min="5" max="5"/>
    <col width="20" customWidth="1" min="6" max="6"/>
    <col width="14" customWidth="1" min="7" max="7"/>
    <col width="24" customWidth="1" min="8" max="8"/>
  </cols>
  <sheetData>
    <row r="1">
      <c r="A1" s="1" t="inlineStr">
        <is>
          <t>Product</t>
        </is>
      </c>
      <c r="B1" s="1" t="inlineStr">
        <is>
          <t>Avg_Daily_Demand</t>
        </is>
      </c>
      <c r="C1" s="1" t="inlineStr">
        <is>
          <t>Avg_Lead_Time_Days</t>
        </is>
      </c>
      <c r="D1" s="1" t="inlineStr">
        <is>
          <t>Safety_Stock</t>
        </is>
      </c>
      <c r="E1" s="1" t="inlineStr">
        <is>
          <t>Reorder_Point</t>
        </is>
      </c>
      <c r="F1" s="1" t="inlineStr">
        <is>
          <t>Closing_Inventory</t>
        </is>
      </c>
      <c r="G1" s="1" t="inlineStr">
        <is>
          <t>Sales_Units</t>
        </is>
      </c>
      <c r="H1" s="1" t="inlineStr">
        <is>
          <t>Reorder_Coverage_Days</t>
        </is>
      </c>
    </row>
    <row r="2">
      <c r="A2" t="inlineStr">
        <is>
          <t>Bearings</t>
        </is>
      </c>
      <c r="B2" t="n">
        <v>135.5</v>
      </c>
      <c r="C2" t="n">
        <v>325</v>
      </c>
      <c r="D2" t="n">
        <v>127</v>
      </c>
      <c r="E2" t="n">
        <v>44225.33333333334</v>
      </c>
      <c r="F2" t="n">
        <v>1318.5</v>
      </c>
      <c r="G2" t="n">
        <v>44802</v>
      </c>
      <c r="H2" t="n">
        <v>326.3862238622386</v>
      </c>
    </row>
    <row r="3">
      <c r="A3" t="inlineStr">
        <is>
          <t>Gears</t>
        </is>
      </c>
      <c r="B3" t="n">
        <v>191.5</v>
      </c>
      <c r="C3" t="n">
        <v>445</v>
      </c>
      <c r="D3" t="n">
        <v>153</v>
      </c>
      <c r="E3" t="n">
        <v>85431.33333333333</v>
      </c>
      <c r="F3" t="n">
        <v>1770.5</v>
      </c>
      <c r="G3" t="n">
        <v>62946</v>
      </c>
      <c r="H3" t="n">
        <v>446.1166231505657</v>
      </c>
    </row>
    <row r="4">
      <c r="A4" t="inlineStr">
        <is>
          <t>Shafts</t>
        </is>
      </c>
      <c r="B4" t="n">
        <v>158.5</v>
      </c>
      <c r="C4" t="n">
        <v>385</v>
      </c>
      <c r="D4" t="n">
        <v>140</v>
      </c>
      <c r="E4" t="n">
        <v>61223.33333333334</v>
      </c>
      <c r="F4" t="n">
        <v>1484.5</v>
      </c>
      <c r="G4" t="n">
        <v>52254</v>
      </c>
      <c r="H4" t="n">
        <v>386.267087276551</v>
      </c>
    </row>
  </sheetData>
  <autoFilter ref="A1:H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Month</t>
        </is>
      </c>
      <c r="B1" s="1" t="inlineStr">
        <is>
          <t>Avg_Daily_Demand</t>
        </is>
      </c>
      <c r="C1" s="1" t="inlineStr">
        <is>
          <t>Safety_Stock</t>
        </is>
      </c>
      <c r="D1" s="1" t="inlineStr">
        <is>
          <t>Reorder_Point</t>
        </is>
      </c>
      <c r="E1" s="1" t="inlineStr">
        <is>
          <t>Closing_Inventory</t>
        </is>
      </c>
    </row>
    <row r="2">
      <c r="A2" t="inlineStr">
        <is>
          <t>Jan</t>
        </is>
      </c>
      <c r="B2" t="n">
        <v>154.3333333333333</v>
      </c>
      <c r="C2" t="n">
        <v>130</v>
      </c>
      <c r="D2" t="n">
        <v>59950</v>
      </c>
      <c r="E2" t="n">
        <v>1427</v>
      </c>
    </row>
    <row r="3">
      <c r="A3" t="inlineStr">
        <is>
          <t>Feb</t>
        </is>
      </c>
      <c r="B3" t="n">
        <v>157.3333333333333</v>
      </c>
      <c r="C3" t="n">
        <v>134</v>
      </c>
      <c r="D3" t="n">
        <v>62667.33333333334</v>
      </c>
      <c r="E3" t="n">
        <v>1466</v>
      </c>
    </row>
    <row r="4">
      <c r="A4" t="inlineStr">
        <is>
          <t>Mar</t>
        </is>
      </c>
      <c r="B4" t="n">
        <v>160.3333333333333</v>
      </c>
      <c r="C4" t="n">
        <v>138</v>
      </c>
      <c r="D4" t="n">
        <v>62238</v>
      </c>
      <c r="E4" t="n">
        <v>1505</v>
      </c>
    </row>
    <row r="5">
      <c r="A5" t="inlineStr">
        <is>
          <t>Apr</t>
        </is>
      </c>
      <c r="B5" t="n">
        <v>163.3333333333333</v>
      </c>
      <c r="C5" t="n">
        <v>142</v>
      </c>
      <c r="D5" t="n">
        <v>65015.33333333334</v>
      </c>
      <c r="E5" t="n">
        <v>1544</v>
      </c>
    </row>
    <row r="6">
      <c r="A6" t="inlineStr">
        <is>
          <t>May</t>
        </is>
      </c>
      <c r="B6" t="n">
        <v>166.3333333333333</v>
      </c>
      <c r="C6" t="n">
        <v>146</v>
      </c>
      <c r="D6" t="n">
        <v>64526</v>
      </c>
      <c r="E6" t="n">
        <v>1583</v>
      </c>
    </row>
    <row r="7">
      <c r="A7" t="inlineStr">
        <is>
          <t>Jun</t>
        </is>
      </c>
      <c r="B7" t="n">
        <v>169.3333333333333</v>
      </c>
      <c r="C7" t="n">
        <v>150</v>
      </c>
      <c r="D7" t="n">
        <v>67363.33333333333</v>
      </c>
      <c r="E7" t="n">
        <v>1622</v>
      </c>
    </row>
  </sheetData>
  <autoFilter ref="A1:E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15" customWidth="1" min="4" max="4"/>
    <col width="16" customWidth="1" min="5" max="5"/>
    <col width="20" customWidth="1" min="6" max="6"/>
  </cols>
  <sheetData>
    <row r="1">
      <c r="A1" s="1" t="inlineStr">
        <is>
          <t>Region</t>
        </is>
      </c>
      <c r="B1" s="1" t="inlineStr">
        <is>
          <t>Avg_Daily_Demand</t>
        </is>
      </c>
      <c r="C1" s="1" t="inlineStr">
        <is>
          <t>Avg_Lead_Time_Days</t>
        </is>
      </c>
      <c r="D1" s="1" t="inlineStr">
        <is>
          <t>Safety_Stock</t>
        </is>
      </c>
      <c r="E1" s="1" t="inlineStr">
        <is>
          <t>Reorder_Point</t>
        </is>
      </c>
      <c r="F1" s="1" t="inlineStr">
        <is>
          <t>Closing_Inventory</t>
        </is>
      </c>
    </row>
    <row r="2">
      <c r="A2" t="inlineStr">
        <is>
          <t>North</t>
        </is>
      </c>
      <c r="B2" t="n">
        <v>157.8333333333333</v>
      </c>
      <c r="C2" t="n">
        <v>365</v>
      </c>
      <c r="D2" t="n">
        <v>137</v>
      </c>
      <c r="E2" t="n">
        <v>58873.66666666666</v>
      </c>
      <c r="F2" t="n">
        <v>1511.5</v>
      </c>
    </row>
    <row r="3">
      <c r="A3" t="inlineStr">
        <is>
          <t>South</t>
        </is>
      </c>
      <c r="B3" t="n">
        <v>161.8333333333333</v>
      </c>
      <c r="C3" t="n">
        <v>385</v>
      </c>
      <c r="D3" t="n">
        <v>140</v>
      </c>
      <c r="E3" t="n">
        <v>63573.33333333334</v>
      </c>
      <c r="F3" t="n">
        <v>1524.5</v>
      </c>
    </row>
    <row r="4">
      <c r="A4" t="inlineStr">
        <is>
          <t>West</t>
        </is>
      </c>
      <c r="B4" t="n">
        <v>165.8333333333333</v>
      </c>
      <c r="C4" t="n">
        <v>405</v>
      </c>
      <c r="D4" t="n">
        <v>143</v>
      </c>
      <c r="E4" t="n">
        <v>68433</v>
      </c>
      <c r="F4" t="n">
        <v>1537.5</v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21" customWidth="1" min="4" max="4"/>
    <col width="15" customWidth="1" min="5" max="5"/>
    <col width="16" customWidth="1" min="6" max="6"/>
    <col width="20" customWidth="1" min="7" max="7"/>
  </cols>
  <sheetData>
    <row r="1">
      <c r="A1" s="1" t="inlineStr">
        <is>
          <t>Product</t>
        </is>
      </c>
      <c r="B1" s="1" t="inlineStr">
        <is>
          <t>Region</t>
        </is>
      </c>
      <c r="C1" s="1" t="inlineStr">
        <is>
          <t>Avg_Daily_Demand</t>
        </is>
      </c>
      <c r="D1" s="1" t="inlineStr">
        <is>
          <t>Avg_Lead_Time_Days</t>
        </is>
      </c>
      <c r="E1" s="1" t="inlineStr">
        <is>
          <t>Safety_Stock</t>
        </is>
      </c>
      <c r="F1" s="1" t="inlineStr">
        <is>
          <t>Reorder_Point</t>
        </is>
      </c>
      <c r="G1" s="1" t="inlineStr">
        <is>
          <t>Closing_Inventory</t>
        </is>
      </c>
    </row>
    <row r="2">
      <c r="A2" t="inlineStr">
        <is>
          <t>Bearings</t>
        </is>
      </c>
      <c r="B2" t="inlineStr">
        <is>
          <t>North</t>
        </is>
      </c>
      <c r="C2" t="n">
        <v>131.5</v>
      </c>
      <c r="D2" t="n">
        <v>305</v>
      </c>
      <c r="E2" t="n">
        <v>124</v>
      </c>
      <c r="F2" t="n">
        <v>40239</v>
      </c>
      <c r="G2" t="n">
        <v>1305.5</v>
      </c>
    </row>
    <row r="3">
      <c r="A3" t="inlineStr">
        <is>
          <t>Bearings</t>
        </is>
      </c>
      <c r="B3" t="inlineStr">
        <is>
          <t>South</t>
        </is>
      </c>
      <c r="C3" t="n">
        <v>135.5</v>
      </c>
      <c r="D3" t="n">
        <v>325</v>
      </c>
      <c r="E3" t="n">
        <v>127</v>
      </c>
      <c r="F3" t="n">
        <v>44172</v>
      </c>
      <c r="G3" t="n">
        <v>1318.5</v>
      </c>
    </row>
    <row r="4">
      <c r="A4" t="inlineStr">
        <is>
          <t>Bearings</t>
        </is>
      </c>
      <c r="B4" t="inlineStr">
        <is>
          <t>West</t>
        </is>
      </c>
      <c r="C4" t="n">
        <v>139.5</v>
      </c>
      <c r="D4" t="n">
        <v>345</v>
      </c>
      <c r="E4" t="n">
        <v>130</v>
      </c>
      <c r="F4" t="n">
        <v>48265</v>
      </c>
      <c r="G4" t="n">
        <v>1331.5</v>
      </c>
    </row>
    <row r="5">
      <c r="A5" t="inlineStr">
        <is>
          <t>Gears</t>
        </is>
      </c>
      <c r="B5" t="inlineStr">
        <is>
          <t>North</t>
        </is>
      </c>
      <c r="C5" t="n">
        <v>187.5</v>
      </c>
      <c r="D5" t="n">
        <v>425</v>
      </c>
      <c r="E5" t="n">
        <v>150</v>
      </c>
      <c r="F5" t="n">
        <v>79845</v>
      </c>
      <c r="G5" t="n">
        <v>1757.5</v>
      </c>
    </row>
    <row r="6">
      <c r="A6" t="inlineStr">
        <is>
          <t>Gears</t>
        </is>
      </c>
      <c r="B6" t="inlineStr">
        <is>
          <t>South</t>
        </is>
      </c>
      <c r="C6" t="n">
        <v>191.5</v>
      </c>
      <c r="D6" t="n">
        <v>445</v>
      </c>
      <c r="E6" t="n">
        <v>153</v>
      </c>
      <c r="F6" t="n">
        <v>85378</v>
      </c>
      <c r="G6" t="n">
        <v>1770.5</v>
      </c>
    </row>
    <row r="7">
      <c r="A7" t="inlineStr">
        <is>
          <t>Gears</t>
        </is>
      </c>
      <c r="B7" t="inlineStr">
        <is>
          <t>West</t>
        </is>
      </c>
      <c r="C7" t="n">
        <v>195.5</v>
      </c>
      <c r="D7" t="n">
        <v>465</v>
      </c>
      <c r="E7" t="n">
        <v>156</v>
      </c>
      <c r="F7" t="n">
        <v>91071</v>
      </c>
      <c r="G7" t="n">
        <v>1783.5</v>
      </c>
    </row>
    <row r="8">
      <c r="A8" t="inlineStr">
        <is>
          <t>Shafts</t>
        </is>
      </c>
      <c r="B8" t="inlineStr">
        <is>
          <t>North</t>
        </is>
      </c>
      <c r="C8" t="n">
        <v>154.5</v>
      </c>
      <c r="D8" t="n">
        <v>365</v>
      </c>
      <c r="E8" t="n">
        <v>137</v>
      </c>
      <c r="F8" t="n">
        <v>56537</v>
      </c>
      <c r="G8" t="n">
        <v>1471.5</v>
      </c>
    </row>
    <row r="9">
      <c r="A9" t="inlineStr">
        <is>
          <t>Shafts</t>
        </is>
      </c>
      <c r="B9" t="inlineStr">
        <is>
          <t>South</t>
        </is>
      </c>
      <c r="C9" t="n">
        <v>158.5</v>
      </c>
      <c r="D9" t="n">
        <v>385</v>
      </c>
      <c r="E9" t="n">
        <v>140</v>
      </c>
      <c r="F9" t="n">
        <v>61170</v>
      </c>
      <c r="G9" t="n">
        <v>1484.5</v>
      </c>
    </row>
    <row r="10">
      <c r="A10" t="inlineStr">
        <is>
          <t>Shafts</t>
        </is>
      </c>
      <c r="B10" t="inlineStr">
        <is>
          <t>West</t>
        </is>
      </c>
      <c r="C10" t="n">
        <v>162.5</v>
      </c>
      <c r="D10" t="n">
        <v>405</v>
      </c>
      <c r="E10" t="n">
        <v>143</v>
      </c>
      <c r="F10" t="n">
        <v>65963</v>
      </c>
      <c r="G10" t="n">
        <v>1497.5</v>
      </c>
    </row>
  </sheetData>
  <autoFilter ref="A1:G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19" customWidth="1" min="5" max="5"/>
    <col width="21" customWidth="1" min="6" max="6"/>
    <col width="21" customWidth="1" min="7" max="7"/>
    <col width="15" customWidth="1" min="8" max="8"/>
    <col width="20" customWidth="1" min="9" max="9"/>
    <col width="19" customWidth="1" min="10" max="10"/>
  </cols>
  <sheetData>
    <row r="1">
      <c r="A1" s="1" t="inlineStr">
        <is>
          <t>Record_ID</t>
        </is>
      </c>
      <c r="B1" s="1" t="inlineStr">
        <is>
          <t>Product</t>
        </is>
      </c>
      <c r="C1" s="1" t="inlineStr">
        <is>
          <t>Region</t>
        </is>
      </c>
      <c r="D1" s="1" t="inlineStr">
        <is>
          <t>Avg_Daily_Demand</t>
        </is>
      </c>
      <c r="E1" s="1" t="inlineStr">
        <is>
          <t>Max_Daily_Demand</t>
        </is>
      </c>
      <c r="F1" s="1" t="inlineStr">
        <is>
          <t>Avg_Lead_Time_Days</t>
        </is>
      </c>
      <c r="G1" s="1" t="inlineStr">
        <is>
          <t>Max_Lead_Time_Days</t>
        </is>
      </c>
      <c r="H1" s="1" t="inlineStr">
        <is>
          <t>Safety_Stock</t>
        </is>
      </c>
      <c r="I1" s="1" t="inlineStr">
        <is>
          <t>Safety_Stock_Calc</t>
        </is>
      </c>
      <c r="J1" s="1" t="inlineStr">
        <is>
          <t>Safety_Stock_Gap</t>
        </is>
      </c>
    </row>
    <row r="2">
      <c r="A2" t="n">
        <v>1</v>
      </c>
      <c r="B2" t="inlineStr">
        <is>
          <t>Gears</t>
        </is>
      </c>
      <c r="C2" t="inlineStr">
        <is>
          <t>North</t>
        </is>
      </c>
      <c r="D2" t="n">
        <v>180</v>
      </c>
      <c r="E2" t="n">
        <v>205</v>
      </c>
      <c r="F2" t="n">
        <v>420</v>
      </c>
      <c r="G2" t="n">
        <v>440</v>
      </c>
      <c r="H2" t="n">
        <v>140</v>
      </c>
      <c r="I2" t="n">
        <v>14600</v>
      </c>
      <c r="J2" t="n">
        <v>-14460</v>
      </c>
    </row>
    <row r="3">
      <c r="A3" t="n">
        <v>2</v>
      </c>
      <c r="B3" t="inlineStr">
        <is>
          <t>Gears</t>
        </is>
      </c>
      <c r="C3" t="inlineStr">
        <is>
          <t>South</t>
        </is>
      </c>
      <c r="D3" t="n">
        <v>184</v>
      </c>
      <c r="E3" t="n">
        <v>209</v>
      </c>
      <c r="F3" t="n">
        <v>440</v>
      </c>
      <c r="G3" t="n">
        <v>460</v>
      </c>
      <c r="H3" t="n">
        <v>143</v>
      </c>
      <c r="I3" t="n">
        <v>15180</v>
      </c>
      <c r="J3" t="n">
        <v>-15037</v>
      </c>
    </row>
    <row r="4">
      <c r="A4" t="n">
        <v>3</v>
      </c>
      <c r="B4" t="inlineStr">
        <is>
          <t>Gears</t>
        </is>
      </c>
      <c r="C4" t="inlineStr">
        <is>
          <t>West</t>
        </is>
      </c>
      <c r="D4" t="n">
        <v>188</v>
      </c>
      <c r="E4" t="n">
        <v>213</v>
      </c>
      <c r="F4" t="n">
        <v>460</v>
      </c>
      <c r="G4" t="n">
        <v>480</v>
      </c>
      <c r="H4" t="n">
        <v>146</v>
      </c>
      <c r="I4" t="n">
        <v>15760</v>
      </c>
      <c r="J4" t="n">
        <v>-15614</v>
      </c>
    </row>
    <row r="5">
      <c r="A5" t="n">
        <v>4</v>
      </c>
      <c r="B5" t="inlineStr">
        <is>
          <t>Shafts</t>
        </is>
      </c>
      <c r="C5" t="inlineStr">
        <is>
          <t>North</t>
        </is>
      </c>
      <c r="D5" t="n">
        <v>147</v>
      </c>
      <c r="E5" t="n">
        <v>176</v>
      </c>
      <c r="F5" t="n">
        <v>360</v>
      </c>
      <c r="G5" t="n">
        <v>380</v>
      </c>
      <c r="H5" t="n">
        <v>127</v>
      </c>
      <c r="I5" t="n">
        <v>13960</v>
      </c>
      <c r="J5" t="n">
        <v>-13833</v>
      </c>
    </row>
    <row r="6">
      <c r="A6" t="n">
        <v>5</v>
      </c>
      <c r="B6" t="inlineStr">
        <is>
          <t>Shafts</t>
        </is>
      </c>
      <c r="C6" t="inlineStr">
        <is>
          <t>South</t>
        </is>
      </c>
      <c r="D6" t="n">
        <v>151</v>
      </c>
      <c r="E6" t="n">
        <v>180</v>
      </c>
      <c r="F6" t="n">
        <v>380</v>
      </c>
      <c r="G6" t="n">
        <v>400</v>
      </c>
      <c r="H6" t="n">
        <v>130</v>
      </c>
      <c r="I6" t="n">
        <v>14620</v>
      </c>
      <c r="J6" t="n">
        <v>-14490</v>
      </c>
    </row>
    <row r="7">
      <c r="A7" t="n">
        <v>6</v>
      </c>
      <c r="B7" t="inlineStr">
        <is>
          <t>Shafts</t>
        </is>
      </c>
      <c r="C7" t="inlineStr">
        <is>
          <t>West</t>
        </is>
      </c>
      <c r="D7" t="n">
        <v>155</v>
      </c>
      <c r="E7" t="n">
        <v>184</v>
      </c>
      <c r="F7" t="n">
        <v>400</v>
      </c>
      <c r="G7" t="n">
        <v>420</v>
      </c>
      <c r="H7" t="n">
        <v>133</v>
      </c>
      <c r="I7" t="n">
        <v>15280</v>
      </c>
      <c r="J7" t="n">
        <v>-15147</v>
      </c>
    </row>
    <row r="8">
      <c r="A8" t="n">
        <v>7</v>
      </c>
      <c r="B8" t="inlineStr">
        <is>
          <t>Bearings</t>
        </is>
      </c>
      <c r="C8" t="inlineStr">
        <is>
          <t>North</t>
        </is>
      </c>
      <c r="D8" t="n">
        <v>124</v>
      </c>
      <c r="E8" t="n">
        <v>157</v>
      </c>
      <c r="F8" t="n">
        <v>300</v>
      </c>
      <c r="G8" t="n">
        <v>320</v>
      </c>
      <c r="H8" t="n">
        <v>114</v>
      </c>
      <c r="I8" t="n">
        <v>13040</v>
      </c>
      <c r="J8" t="n">
        <v>-12926</v>
      </c>
    </row>
    <row r="9">
      <c r="A9" t="n">
        <v>8</v>
      </c>
      <c r="B9" t="inlineStr">
        <is>
          <t>Bearings</t>
        </is>
      </c>
      <c r="C9" t="inlineStr">
        <is>
          <t>South</t>
        </is>
      </c>
      <c r="D9" t="n">
        <v>128</v>
      </c>
      <c r="E9" t="n">
        <v>161</v>
      </c>
      <c r="F9" t="n">
        <v>320</v>
      </c>
      <c r="G9" t="n">
        <v>340</v>
      </c>
      <c r="H9" t="n">
        <v>117</v>
      </c>
      <c r="I9" t="n">
        <v>13780</v>
      </c>
      <c r="J9" t="n">
        <v>-13663</v>
      </c>
    </row>
    <row r="10">
      <c r="A10" t="n">
        <v>9</v>
      </c>
      <c r="B10" t="inlineStr">
        <is>
          <t>Bearings</t>
        </is>
      </c>
      <c r="C10" t="inlineStr">
        <is>
          <t>West</t>
        </is>
      </c>
      <c r="D10" t="n">
        <v>132</v>
      </c>
      <c r="E10" t="n">
        <v>165</v>
      </c>
      <c r="F10" t="n">
        <v>340</v>
      </c>
      <c r="G10" t="n">
        <v>360</v>
      </c>
      <c r="H10" t="n">
        <v>120</v>
      </c>
      <c r="I10" t="n">
        <v>14520</v>
      </c>
      <c r="J10" t="n">
        <v>-14400</v>
      </c>
    </row>
    <row r="11">
      <c r="A11" t="n">
        <v>10</v>
      </c>
      <c r="B11" t="inlineStr">
        <is>
          <t>Gears</t>
        </is>
      </c>
      <c r="C11" t="inlineStr">
        <is>
          <t>North</t>
        </is>
      </c>
      <c r="D11" t="n">
        <v>183</v>
      </c>
      <c r="E11" t="n">
        <v>208</v>
      </c>
      <c r="F11" t="n">
        <v>430</v>
      </c>
      <c r="G11" t="n">
        <v>450</v>
      </c>
      <c r="H11" t="n">
        <v>144</v>
      </c>
      <c r="I11" t="n">
        <v>14910</v>
      </c>
      <c r="J11" t="n">
        <v>-14766</v>
      </c>
    </row>
    <row r="12">
      <c r="A12" t="n">
        <v>11</v>
      </c>
      <c r="B12" t="inlineStr">
        <is>
          <t>Gears</t>
        </is>
      </c>
      <c r="C12" t="inlineStr">
        <is>
          <t>South</t>
        </is>
      </c>
      <c r="D12" t="n">
        <v>187</v>
      </c>
      <c r="E12" t="n">
        <v>212</v>
      </c>
      <c r="F12" t="n">
        <v>450</v>
      </c>
      <c r="G12" t="n">
        <v>470</v>
      </c>
      <c r="H12" t="n">
        <v>147</v>
      </c>
      <c r="I12" t="n">
        <v>15490</v>
      </c>
      <c r="J12" t="n">
        <v>-15343</v>
      </c>
    </row>
    <row r="13">
      <c r="A13" t="n">
        <v>12</v>
      </c>
      <c r="B13" t="inlineStr">
        <is>
          <t>Gears</t>
        </is>
      </c>
      <c r="C13" t="inlineStr">
        <is>
          <t>West</t>
        </is>
      </c>
      <c r="D13" t="n">
        <v>191</v>
      </c>
      <c r="E13" t="n">
        <v>216</v>
      </c>
      <c r="F13" t="n">
        <v>470</v>
      </c>
      <c r="G13" t="n">
        <v>490</v>
      </c>
      <c r="H13" t="n">
        <v>150</v>
      </c>
      <c r="I13" t="n">
        <v>16070</v>
      </c>
      <c r="J13" t="n">
        <v>-15920</v>
      </c>
    </row>
    <row r="14">
      <c r="A14" t="n">
        <v>13</v>
      </c>
      <c r="B14" t="inlineStr">
        <is>
          <t>Shafts</t>
        </is>
      </c>
      <c r="C14" t="inlineStr">
        <is>
          <t>North</t>
        </is>
      </c>
      <c r="D14" t="n">
        <v>150</v>
      </c>
      <c r="E14" t="n">
        <v>179</v>
      </c>
      <c r="F14" t="n">
        <v>370</v>
      </c>
      <c r="G14" t="n">
        <v>390</v>
      </c>
      <c r="H14" t="n">
        <v>131</v>
      </c>
      <c r="I14" t="n">
        <v>14310</v>
      </c>
      <c r="J14" t="n">
        <v>-14179</v>
      </c>
    </row>
    <row r="15">
      <c r="A15" t="n">
        <v>14</v>
      </c>
      <c r="B15" t="inlineStr">
        <is>
          <t>Shafts</t>
        </is>
      </c>
      <c r="C15" t="inlineStr">
        <is>
          <t>South</t>
        </is>
      </c>
      <c r="D15" t="n">
        <v>154</v>
      </c>
      <c r="E15" t="n">
        <v>183</v>
      </c>
      <c r="F15" t="n">
        <v>390</v>
      </c>
      <c r="G15" t="n">
        <v>410</v>
      </c>
      <c r="H15" t="n">
        <v>134</v>
      </c>
      <c r="I15" t="n">
        <v>14970</v>
      </c>
      <c r="J15" t="n">
        <v>-14836</v>
      </c>
    </row>
    <row r="16">
      <c r="A16" t="n">
        <v>15</v>
      </c>
      <c r="B16" t="inlineStr">
        <is>
          <t>Shafts</t>
        </is>
      </c>
      <c r="C16" t="inlineStr">
        <is>
          <t>West</t>
        </is>
      </c>
      <c r="D16" t="n">
        <v>158</v>
      </c>
      <c r="E16" t="n">
        <v>187</v>
      </c>
      <c r="F16" t="n">
        <v>410</v>
      </c>
      <c r="G16" t="n">
        <v>430</v>
      </c>
      <c r="H16" t="n">
        <v>137</v>
      </c>
      <c r="I16" t="n">
        <v>15630</v>
      </c>
      <c r="J16" t="n">
        <v>-15493</v>
      </c>
    </row>
    <row r="17">
      <c r="A17" t="n">
        <v>16</v>
      </c>
      <c r="B17" t="inlineStr">
        <is>
          <t>Bearings</t>
        </is>
      </c>
      <c r="C17" t="inlineStr">
        <is>
          <t>North</t>
        </is>
      </c>
      <c r="D17" t="n">
        <v>127</v>
      </c>
      <c r="E17" t="n">
        <v>160</v>
      </c>
      <c r="F17" t="n">
        <v>310</v>
      </c>
      <c r="G17" t="n">
        <v>330</v>
      </c>
      <c r="H17" t="n">
        <v>118</v>
      </c>
      <c r="I17" t="n">
        <v>13430</v>
      </c>
      <c r="J17" t="n">
        <v>-13312</v>
      </c>
    </row>
    <row r="18">
      <c r="A18" t="n">
        <v>17</v>
      </c>
      <c r="B18" t="inlineStr">
        <is>
          <t>Bearings</t>
        </is>
      </c>
      <c r="C18" t="inlineStr">
        <is>
          <t>South</t>
        </is>
      </c>
      <c r="D18" t="n">
        <v>131</v>
      </c>
      <c r="E18" t="n">
        <v>164</v>
      </c>
      <c r="F18" t="n">
        <v>330</v>
      </c>
      <c r="G18" t="n">
        <v>350</v>
      </c>
      <c r="H18" t="n">
        <v>121</v>
      </c>
      <c r="I18" t="n">
        <v>14170</v>
      </c>
      <c r="J18" t="n">
        <v>-14049</v>
      </c>
    </row>
    <row r="19">
      <c r="A19" t="n">
        <v>18</v>
      </c>
      <c r="B19" t="inlineStr">
        <is>
          <t>Bearings</t>
        </is>
      </c>
      <c r="C19" t="inlineStr">
        <is>
          <t>West</t>
        </is>
      </c>
      <c r="D19" t="n">
        <v>135</v>
      </c>
      <c r="E19" t="n">
        <v>168</v>
      </c>
      <c r="F19" t="n">
        <v>350</v>
      </c>
      <c r="G19" t="n">
        <v>370</v>
      </c>
      <c r="H19" t="n">
        <v>124</v>
      </c>
      <c r="I19" t="n">
        <v>14910</v>
      </c>
      <c r="J19" t="n">
        <v>-14786</v>
      </c>
    </row>
    <row r="20">
      <c r="A20" t="n">
        <v>19</v>
      </c>
      <c r="B20" t="inlineStr">
        <is>
          <t>Gears</t>
        </is>
      </c>
      <c r="C20" t="inlineStr">
        <is>
          <t>North</t>
        </is>
      </c>
      <c r="D20" t="n">
        <v>186</v>
      </c>
      <c r="E20" t="n">
        <v>211</v>
      </c>
      <c r="F20" t="n">
        <v>420</v>
      </c>
      <c r="G20" t="n">
        <v>440</v>
      </c>
      <c r="H20" t="n">
        <v>148</v>
      </c>
      <c r="I20" t="n">
        <v>14720</v>
      </c>
      <c r="J20" t="n">
        <v>-14572</v>
      </c>
    </row>
    <row r="21">
      <c r="A21" t="n">
        <v>20</v>
      </c>
      <c r="B21" t="inlineStr">
        <is>
          <t>Gears</t>
        </is>
      </c>
      <c r="C21" t="inlineStr">
        <is>
          <t>South</t>
        </is>
      </c>
      <c r="D21" t="n">
        <v>190</v>
      </c>
      <c r="E21" t="n">
        <v>215</v>
      </c>
      <c r="F21" t="n">
        <v>440</v>
      </c>
      <c r="G21" t="n">
        <v>460</v>
      </c>
      <c r="H21" t="n">
        <v>151</v>
      </c>
      <c r="I21" t="n">
        <v>15300</v>
      </c>
      <c r="J21" t="n">
        <v>-15149</v>
      </c>
    </row>
    <row r="22">
      <c r="A22" t="n">
        <v>21</v>
      </c>
      <c r="B22" t="inlineStr">
        <is>
          <t>Gears</t>
        </is>
      </c>
      <c r="C22" t="inlineStr">
        <is>
          <t>West</t>
        </is>
      </c>
      <c r="D22" t="n">
        <v>194</v>
      </c>
      <c r="E22" t="n">
        <v>219</v>
      </c>
      <c r="F22" t="n">
        <v>460</v>
      </c>
      <c r="G22" t="n">
        <v>480</v>
      </c>
      <c r="H22" t="n">
        <v>154</v>
      </c>
      <c r="I22" t="n">
        <v>15880</v>
      </c>
      <c r="J22" t="n">
        <v>-15726</v>
      </c>
    </row>
    <row r="23">
      <c r="A23" t="n">
        <v>22</v>
      </c>
      <c r="B23" t="inlineStr">
        <is>
          <t>Shafts</t>
        </is>
      </c>
      <c r="C23" t="inlineStr">
        <is>
          <t>North</t>
        </is>
      </c>
      <c r="D23" t="n">
        <v>153</v>
      </c>
      <c r="E23" t="n">
        <v>182</v>
      </c>
      <c r="F23" t="n">
        <v>360</v>
      </c>
      <c r="G23" t="n">
        <v>380</v>
      </c>
      <c r="H23" t="n">
        <v>135</v>
      </c>
      <c r="I23" t="n">
        <v>14080</v>
      </c>
      <c r="J23" t="n">
        <v>-13945</v>
      </c>
    </row>
    <row r="24">
      <c r="A24" t="n">
        <v>23</v>
      </c>
      <c r="B24" t="inlineStr">
        <is>
          <t>Shafts</t>
        </is>
      </c>
      <c r="C24" t="inlineStr">
        <is>
          <t>South</t>
        </is>
      </c>
      <c r="D24" t="n">
        <v>157</v>
      </c>
      <c r="E24" t="n">
        <v>186</v>
      </c>
      <c r="F24" t="n">
        <v>380</v>
      </c>
      <c r="G24" t="n">
        <v>400</v>
      </c>
      <c r="H24" t="n">
        <v>138</v>
      </c>
      <c r="I24" t="n">
        <v>14740</v>
      </c>
      <c r="J24" t="n">
        <v>-14602</v>
      </c>
    </row>
    <row r="25">
      <c r="A25" t="n">
        <v>24</v>
      </c>
      <c r="B25" t="inlineStr">
        <is>
          <t>Shafts</t>
        </is>
      </c>
      <c r="C25" t="inlineStr">
        <is>
          <t>West</t>
        </is>
      </c>
      <c r="D25" t="n">
        <v>161</v>
      </c>
      <c r="E25" t="n">
        <v>190</v>
      </c>
      <c r="F25" t="n">
        <v>400</v>
      </c>
      <c r="G25" t="n">
        <v>420</v>
      </c>
      <c r="H25" t="n">
        <v>141</v>
      </c>
      <c r="I25" t="n">
        <v>15400</v>
      </c>
      <c r="J25" t="n">
        <v>-15259</v>
      </c>
    </row>
    <row r="26">
      <c r="A26" t="n">
        <v>25</v>
      </c>
      <c r="B26" t="inlineStr">
        <is>
          <t>Bearings</t>
        </is>
      </c>
      <c r="C26" t="inlineStr">
        <is>
          <t>North</t>
        </is>
      </c>
      <c r="D26" t="n">
        <v>130</v>
      </c>
      <c r="E26" t="n">
        <v>163</v>
      </c>
      <c r="F26" t="n">
        <v>300</v>
      </c>
      <c r="G26" t="n">
        <v>320</v>
      </c>
      <c r="H26" t="n">
        <v>122</v>
      </c>
      <c r="I26" t="n">
        <v>13160</v>
      </c>
      <c r="J26" t="n">
        <v>-13038</v>
      </c>
    </row>
    <row r="27">
      <c r="A27" t="n">
        <v>26</v>
      </c>
      <c r="B27" t="inlineStr">
        <is>
          <t>Bearings</t>
        </is>
      </c>
      <c r="C27" t="inlineStr">
        <is>
          <t>South</t>
        </is>
      </c>
      <c r="D27" t="n">
        <v>134</v>
      </c>
      <c r="E27" t="n">
        <v>167</v>
      </c>
      <c r="F27" t="n">
        <v>320</v>
      </c>
      <c r="G27" t="n">
        <v>340</v>
      </c>
      <c r="H27" t="n">
        <v>125</v>
      </c>
      <c r="I27" t="n">
        <v>13900</v>
      </c>
      <c r="J27" t="n">
        <v>-13775</v>
      </c>
    </row>
    <row r="28">
      <c r="A28" t="n">
        <v>27</v>
      </c>
      <c r="B28" t="inlineStr">
        <is>
          <t>Bearings</t>
        </is>
      </c>
      <c r="C28" t="inlineStr">
        <is>
          <t>West</t>
        </is>
      </c>
      <c r="D28" t="n">
        <v>138</v>
      </c>
      <c r="E28" t="n">
        <v>171</v>
      </c>
      <c r="F28" t="n">
        <v>340</v>
      </c>
      <c r="G28" t="n">
        <v>360</v>
      </c>
      <c r="H28" t="n">
        <v>128</v>
      </c>
      <c r="I28" t="n">
        <v>14640</v>
      </c>
      <c r="J28" t="n">
        <v>-14512</v>
      </c>
    </row>
    <row r="29">
      <c r="A29" t="n">
        <v>28</v>
      </c>
      <c r="B29" t="inlineStr">
        <is>
          <t>Gears</t>
        </is>
      </c>
      <c r="C29" t="inlineStr">
        <is>
          <t>North</t>
        </is>
      </c>
      <c r="D29" t="n">
        <v>189</v>
      </c>
      <c r="E29" t="n">
        <v>214</v>
      </c>
      <c r="F29" t="n">
        <v>430</v>
      </c>
      <c r="G29" t="n">
        <v>450</v>
      </c>
      <c r="H29" t="n">
        <v>152</v>
      </c>
      <c r="I29" t="n">
        <v>15030</v>
      </c>
      <c r="J29" t="n">
        <v>-14878</v>
      </c>
    </row>
    <row r="30">
      <c r="A30" t="n">
        <v>29</v>
      </c>
      <c r="B30" t="inlineStr">
        <is>
          <t>Gears</t>
        </is>
      </c>
      <c r="C30" t="inlineStr">
        <is>
          <t>South</t>
        </is>
      </c>
      <c r="D30" t="n">
        <v>193</v>
      </c>
      <c r="E30" t="n">
        <v>218</v>
      </c>
      <c r="F30" t="n">
        <v>450</v>
      </c>
      <c r="G30" t="n">
        <v>470</v>
      </c>
      <c r="H30" t="n">
        <v>155</v>
      </c>
      <c r="I30" t="n">
        <v>15610</v>
      </c>
      <c r="J30" t="n">
        <v>-15455</v>
      </c>
    </row>
    <row r="31">
      <c r="A31" t="n">
        <v>30</v>
      </c>
      <c r="B31" t="inlineStr">
        <is>
          <t>Gears</t>
        </is>
      </c>
      <c r="C31" t="inlineStr">
        <is>
          <t>West</t>
        </is>
      </c>
      <c r="D31" t="n">
        <v>197</v>
      </c>
      <c r="E31" t="n">
        <v>222</v>
      </c>
      <c r="F31" t="n">
        <v>470</v>
      </c>
      <c r="G31" t="n">
        <v>490</v>
      </c>
      <c r="H31" t="n">
        <v>158</v>
      </c>
      <c r="I31" t="n">
        <v>16190</v>
      </c>
      <c r="J31" t="n">
        <v>-16032</v>
      </c>
    </row>
    <row r="32">
      <c r="A32" t="n">
        <v>31</v>
      </c>
      <c r="B32" t="inlineStr">
        <is>
          <t>Shafts</t>
        </is>
      </c>
      <c r="C32" t="inlineStr">
        <is>
          <t>North</t>
        </is>
      </c>
      <c r="D32" t="n">
        <v>156</v>
      </c>
      <c r="E32" t="n">
        <v>185</v>
      </c>
      <c r="F32" t="n">
        <v>370</v>
      </c>
      <c r="G32" t="n">
        <v>390</v>
      </c>
      <c r="H32" t="n">
        <v>139</v>
      </c>
      <c r="I32" t="n">
        <v>14430</v>
      </c>
      <c r="J32" t="n">
        <v>-14291</v>
      </c>
    </row>
    <row r="33">
      <c r="A33" t="n">
        <v>32</v>
      </c>
      <c r="B33" t="inlineStr">
        <is>
          <t>Shafts</t>
        </is>
      </c>
      <c r="C33" t="inlineStr">
        <is>
          <t>South</t>
        </is>
      </c>
      <c r="D33" t="n">
        <v>160</v>
      </c>
      <c r="E33" t="n">
        <v>189</v>
      </c>
      <c r="F33" t="n">
        <v>390</v>
      </c>
      <c r="G33" t="n">
        <v>410</v>
      </c>
      <c r="H33" t="n">
        <v>142</v>
      </c>
      <c r="I33" t="n">
        <v>15090</v>
      </c>
      <c r="J33" t="n">
        <v>-14948</v>
      </c>
    </row>
    <row r="34">
      <c r="A34" t="n">
        <v>33</v>
      </c>
      <c r="B34" t="inlineStr">
        <is>
          <t>Shafts</t>
        </is>
      </c>
      <c r="C34" t="inlineStr">
        <is>
          <t>West</t>
        </is>
      </c>
      <c r="D34" t="n">
        <v>164</v>
      </c>
      <c r="E34" t="n">
        <v>193</v>
      </c>
      <c r="F34" t="n">
        <v>410</v>
      </c>
      <c r="G34" t="n">
        <v>430</v>
      </c>
      <c r="H34" t="n">
        <v>145</v>
      </c>
      <c r="I34" t="n">
        <v>15750</v>
      </c>
      <c r="J34" t="n">
        <v>-15605</v>
      </c>
    </row>
    <row r="35">
      <c r="A35" t="n">
        <v>34</v>
      </c>
      <c r="B35" t="inlineStr">
        <is>
          <t>Bearings</t>
        </is>
      </c>
      <c r="C35" t="inlineStr">
        <is>
          <t>North</t>
        </is>
      </c>
      <c r="D35" t="n">
        <v>133</v>
      </c>
      <c r="E35" t="n">
        <v>166</v>
      </c>
      <c r="F35" t="n">
        <v>310</v>
      </c>
      <c r="G35" t="n">
        <v>330</v>
      </c>
      <c r="H35" t="n">
        <v>126</v>
      </c>
      <c r="I35" t="n">
        <v>13550</v>
      </c>
      <c r="J35" t="n">
        <v>-13424</v>
      </c>
    </row>
    <row r="36">
      <c r="A36" t="n">
        <v>35</v>
      </c>
      <c r="B36" t="inlineStr">
        <is>
          <t>Bearings</t>
        </is>
      </c>
      <c r="C36" t="inlineStr">
        <is>
          <t>South</t>
        </is>
      </c>
      <c r="D36" t="n">
        <v>137</v>
      </c>
      <c r="E36" t="n">
        <v>170</v>
      </c>
      <c r="F36" t="n">
        <v>330</v>
      </c>
      <c r="G36" t="n">
        <v>350</v>
      </c>
      <c r="H36" t="n">
        <v>129</v>
      </c>
      <c r="I36" t="n">
        <v>14290</v>
      </c>
      <c r="J36" t="n">
        <v>-14161</v>
      </c>
    </row>
    <row r="37">
      <c r="A37" t="n">
        <v>36</v>
      </c>
      <c r="B37" t="inlineStr">
        <is>
          <t>Bearings</t>
        </is>
      </c>
      <c r="C37" t="inlineStr">
        <is>
          <t>West</t>
        </is>
      </c>
      <c r="D37" t="n">
        <v>141</v>
      </c>
      <c r="E37" t="n">
        <v>174</v>
      </c>
      <c r="F37" t="n">
        <v>350</v>
      </c>
      <c r="G37" t="n">
        <v>370</v>
      </c>
      <c r="H37" t="n">
        <v>132</v>
      </c>
      <c r="I37" t="n">
        <v>15030</v>
      </c>
      <c r="J37" t="n">
        <v>-14898</v>
      </c>
    </row>
    <row r="38">
      <c r="A38" t="n">
        <v>37</v>
      </c>
      <c r="B38" t="inlineStr">
        <is>
          <t>Gears</t>
        </is>
      </c>
      <c r="C38" t="inlineStr">
        <is>
          <t>North</t>
        </is>
      </c>
      <c r="D38" t="n">
        <v>192</v>
      </c>
      <c r="E38" t="n">
        <v>217</v>
      </c>
      <c r="F38" t="n">
        <v>420</v>
      </c>
      <c r="G38" t="n">
        <v>440</v>
      </c>
      <c r="H38" t="n">
        <v>156</v>
      </c>
      <c r="I38" t="n">
        <v>14840</v>
      </c>
      <c r="J38" t="n">
        <v>-14684</v>
      </c>
    </row>
    <row r="39">
      <c r="A39" t="n">
        <v>38</v>
      </c>
      <c r="B39" t="inlineStr">
        <is>
          <t>Gears</t>
        </is>
      </c>
      <c r="C39" t="inlineStr">
        <is>
          <t>South</t>
        </is>
      </c>
      <c r="D39" t="n">
        <v>196</v>
      </c>
      <c r="E39" t="n">
        <v>221</v>
      </c>
      <c r="F39" t="n">
        <v>440</v>
      </c>
      <c r="G39" t="n">
        <v>460</v>
      </c>
      <c r="H39" t="n">
        <v>159</v>
      </c>
      <c r="I39" t="n">
        <v>15420</v>
      </c>
      <c r="J39" t="n">
        <v>-15261</v>
      </c>
    </row>
    <row r="40">
      <c r="A40" t="n">
        <v>39</v>
      </c>
      <c r="B40" t="inlineStr">
        <is>
          <t>Gears</t>
        </is>
      </c>
      <c r="C40" t="inlineStr">
        <is>
          <t>West</t>
        </is>
      </c>
      <c r="D40" t="n">
        <v>200</v>
      </c>
      <c r="E40" t="n">
        <v>225</v>
      </c>
      <c r="F40" t="n">
        <v>460</v>
      </c>
      <c r="G40" t="n">
        <v>480</v>
      </c>
      <c r="H40" t="n">
        <v>162</v>
      </c>
      <c r="I40" t="n">
        <v>16000</v>
      </c>
      <c r="J40" t="n">
        <v>-15838</v>
      </c>
    </row>
    <row r="41">
      <c r="A41" t="n">
        <v>40</v>
      </c>
      <c r="B41" t="inlineStr">
        <is>
          <t>Shafts</t>
        </is>
      </c>
      <c r="C41" t="inlineStr">
        <is>
          <t>North</t>
        </is>
      </c>
      <c r="D41" t="n">
        <v>159</v>
      </c>
      <c r="E41" t="n">
        <v>188</v>
      </c>
      <c r="F41" t="n">
        <v>360</v>
      </c>
      <c r="G41" t="n">
        <v>380</v>
      </c>
      <c r="H41" t="n">
        <v>143</v>
      </c>
      <c r="I41" t="n">
        <v>14200</v>
      </c>
      <c r="J41" t="n">
        <v>-14057</v>
      </c>
    </row>
    <row r="42">
      <c r="A42" t="n">
        <v>41</v>
      </c>
      <c r="B42" t="inlineStr">
        <is>
          <t>Shafts</t>
        </is>
      </c>
      <c r="C42" t="inlineStr">
        <is>
          <t>South</t>
        </is>
      </c>
      <c r="D42" t="n">
        <v>163</v>
      </c>
      <c r="E42" t="n">
        <v>192</v>
      </c>
      <c r="F42" t="n">
        <v>380</v>
      </c>
      <c r="G42" t="n">
        <v>400</v>
      </c>
      <c r="H42" t="n">
        <v>146</v>
      </c>
      <c r="I42" t="n">
        <v>14860</v>
      </c>
      <c r="J42" t="n">
        <v>-14714</v>
      </c>
    </row>
    <row r="43">
      <c r="A43" t="n">
        <v>42</v>
      </c>
      <c r="B43" t="inlineStr">
        <is>
          <t>Shafts</t>
        </is>
      </c>
      <c r="C43" t="inlineStr">
        <is>
          <t>West</t>
        </is>
      </c>
      <c r="D43" t="n">
        <v>167</v>
      </c>
      <c r="E43" t="n">
        <v>196</v>
      </c>
      <c r="F43" t="n">
        <v>400</v>
      </c>
      <c r="G43" t="n">
        <v>420</v>
      </c>
      <c r="H43" t="n">
        <v>149</v>
      </c>
      <c r="I43" t="n">
        <v>15520</v>
      </c>
      <c r="J43" t="n">
        <v>-15371</v>
      </c>
    </row>
    <row r="44">
      <c r="A44" t="n">
        <v>43</v>
      </c>
      <c r="B44" t="inlineStr">
        <is>
          <t>Bearings</t>
        </is>
      </c>
      <c r="C44" t="inlineStr">
        <is>
          <t>North</t>
        </is>
      </c>
      <c r="D44" t="n">
        <v>136</v>
      </c>
      <c r="E44" t="n">
        <v>169</v>
      </c>
      <c r="F44" t="n">
        <v>300</v>
      </c>
      <c r="G44" t="n">
        <v>320</v>
      </c>
      <c r="H44" t="n">
        <v>130</v>
      </c>
      <c r="I44" t="n">
        <v>13280</v>
      </c>
      <c r="J44" t="n">
        <v>-13150</v>
      </c>
    </row>
    <row r="45">
      <c r="A45" t="n">
        <v>44</v>
      </c>
      <c r="B45" t="inlineStr">
        <is>
          <t>Bearings</t>
        </is>
      </c>
      <c r="C45" t="inlineStr">
        <is>
          <t>South</t>
        </is>
      </c>
      <c r="D45" t="n">
        <v>140</v>
      </c>
      <c r="E45" t="n">
        <v>173</v>
      </c>
      <c r="F45" t="n">
        <v>320</v>
      </c>
      <c r="G45" t="n">
        <v>340</v>
      </c>
      <c r="H45" t="n">
        <v>133</v>
      </c>
      <c r="I45" t="n">
        <v>14020</v>
      </c>
      <c r="J45" t="n">
        <v>-13887</v>
      </c>
    </row>
    <row r="46">
      <c r="A46" t="n">
        <v>45</v>
      </c>
      <c r="B46" t="inlineStr">
        <is>
          <t>Bearings</t>
        </is>
      </c>
      <c r="C46" t="inlineStr">
        <is>
          <t>West</t>
        </is>
      </c>
      <c r="D46" t="n">
        <v>144</v>
      </c>
      <c r="E46" t="n">
        <v>177</v>
      </c>
      <c r="F46" t="n">
        <v>340</v>
      </c>
      <c r="G46" t="n">
        <v>360</v>
      </c>
      <c r="H46" t="n">
        <v>136</v>
      </c>
      <c r="I46" t="n">
        <v>14760</v>
      </c>
      <c r="J46" t="n">
        <v>-14624</v>
      </c>
    </row>
    <row r="47">
      <c r="A47" t="n">
        <v>46</v>
      </c>
      <c r="B47" t="inlineStr">
        <is>
          <t>Gears</t>
        </is>
      </c>
      <c r="C47" t="inlineStr">
        <is>
          <t>North</t>
        </is>
      </c>
      <c r="D47" t="n">
        <v>195</v>
      </c>
      <c r="E47" t="n">
        <v>220</v>
      </c>
      <c r="F47" t="n">
        <v>430</v>
      </c>
      <c r="G47" t="n">
        <v>450</v>
      </c>
      <c r="H47" t="n">
        <v>160</v>
      </c>
      <c r="I47" t="n">
        <v>15150</v>
      </c>
      <c r="J47" t="n">
        <v>-14990</v>
      </c>
    </row>
    <row r="48">
      <c r="A48" t="n">
        <v>47</v>
      </c>
      <c r="B48" t="inlineStr">
        <is>
          <t>Gears</t>
        </is>
      </c>
      <c r="C48" t="inlineStr">
        <is>
          <t>South</t>
        </is>
      </c>
      <c r="D48" t="n">
        <v>199</v>
      </c>
      <c r="E48" t="n">
        <v>224</v>
      </c>
      <c r="F48" t="n">
        <v>450</v>
      </c>
      <c r="G48" t="n">
        <v>470</v>
      </c>
      <c r="H48" t="n">
        <v>163</v>
      </c>
      <c r="I48" t="n">
        <v>15730</v>
      </c>
      <c r="J48" t="n">
        <v>-15567</v>
      </c>
    </row>
    <row r="49">
      <c r="A49" t="n">
        <v>48</v>
      </c>
      <c r="B49" t="inlineStr">
        <is>
          <t>Gears</t>
        </is>
      </c>
      <c r="C49" t="inlineStr">
        <is>
          <t>West</t>
        </is>
      </c>
      <c r="D49" t="n">
        <v>203</v>
      </c>
      <c r="E49" t="n">
        <v>228</v>
      </c>
      <c r="F49" t="n">
        <v>470</v>
      </c>
      <c r="G49" t="n">
        <v>490</v>
      </c>
      <c r="H49" t="n">
        <v>166</v>
      </c>
      <c r="I49" t="n">
        <v>16310</v>
      </c>
      <c r="J49" t="n">
        <v>-16144</v>
      </c>
    </row>
    <row r="50">
      <c r="A50" t="n">
        <v>49</v>
      </c>
      <c r="B50" t="inlineStr">
        <is>
          <t>Shafts</t>
        </is>
      </c>
      <c r="C50" t="inlineStr">
        <is>
          <t>North</t>
        </is>
      </c>
      <c r="D50" t="n">
        <v>162</v>
      </c>
      <c r="E50" t="n">
        <v>191</v>
      </c>
      <c r="F50" t="n">
        <v>370</v>
      </c>
      <c r="G50" t="n">
        <v>390</v>
      </c>
      <c r="H50" t="n">
        <v>147</v>
      </c>
      <c r="I50" t="n">
        <v>14550</v>
      </c>
      <c r="J50" t="n">
        <v>-14403</v>
      </c>
    </row>
    <row r="51">
      <c r="A51" t="n">
        <v>50</v>
      </c>
      <c r="B51" t="inlineStr">
        <is>
          <t>Shafts</t>
        </is>
      </c>
      <c r="C51" t="inlineStr">
        <is>
          <t>South</t>
        </is>
      </c>
      <c r="D51" t="n">
        <v>166</v>
      </c>
      <c r="E51" t="n">
        <v>195</v>
      </c>
      <c r="F51" t="n">
        <v>390</v>
      </c>
      <c r="G51" t="n">
        <v>410</v>
      </c>
      <c r="H51" t="n">
        <v>150</v>
      </c>
      <c r="I51" t="n">
        <v>15210</v>
      </c>
      <c r="J51" t="n">
        <v>-15060</v>
      </c>
    </row>
    <row r="52">
      <c r="A52" t="n">
        <v>51</v>
      </c>
      <c r="B52" t="inlineStr">
        <is>
          <t>Shafts</t>
        </is>
      </c>
      <c r="C52" t="inlineStr">
        <is>
          <t>West</t>
        </is>
      </c>
      <c r="D52" t="n">
        <v>170</v>
      </c>
      <c r="E52" t="n">
        <v>199</v>
      </c>
      <c r="F52" t="n">
        <v>410</v>
      </c>
      <c r="G52" t="n">
        <v>430</v>
      </c>
      <c r="H52" t="n">
        <v>153</v>
      </c>
      <c r="I52" t="n">
        <v>15870</v>
      </c>
      <c r="J52" t="n">
        <v>-15717</v>
      </c>
    </row>
    <row r="53">
      <c r="A53" t="n">
        <v>52</v>
      </c>
      <c r="B53" t="inlineStr">
        <is>
          <t>Bearings</t>
        </is>
      </c>
      <c r="C53" t="inlineStr">
        <is>
          <t>North</t>
        </is>
      </c>
      <c r="D53" t="n">
        <v>139</v>
      </c>
      <c r="E53" t="n">
        <v>172</v>
      </c>
      <c r="F53" t="n">
        <v>310</v>
      </c>
      <c r="G53" t="n">
        <v>330</v>
      </c>
      <c r="H53" t="n">
        <v>134</v>
      </c>
      <c r="I53" t="n">
        <v>13670</v>
      </c>
      <c r="J53" t="n">
        <v>-13536</v>
      </c>
    </row>
    <row r="54">
      <c r="A54" t="n">
        <v>53</v>
      </c>
      <c r="B54" t="inlineStr">
        <is>
          <t>Bearings</t>
        </is>
      </c>
      <c r="C54" t="inlineStr">
        <is>
          <t>South</t>
        </is>
      </c>
      <c r="D54" t="n">
        <v>143</v>
      </c>
      <c r="E54" t="n">
        <v>176</v>
      </c>
      <c r="F54" t="n">
        <v>330</v>
      </c>
      <c r="G54" t="n">
        <v>350</v>
      </c>
      <c r="H54" t="n">
        <v>137</v>
      </c>
      <c r="I54" t="n">
        <v>14410</v>
      </c>
      <c r="J54" t="n">
        <v>-14273</v>
      </c>
    </row>
    <row r="55">
      <c r="A55" t="n">
        <v>54</v>
      </c>
      <c r="B55" t="inlineStr">
        <is>
          <t>Bearings</t>
        </is>
      </c>
      <c r="C55" t="inlineStr">
        <is>
          <t>West</t>
        </is>
      </c>
      <c r="D55" t="n">
        <v>147</v>
      </c>
      <c r="E55" t="n">
        <v>180</v>
      </c>
      <c r="F55" t="n">
        <v>350</v>
      </c>
      <c r="G55" t="n">
        <v>370</v>
      </c>
      <c r="H55" t="n">
        <v>140</v>
      </c>
      <c r="I55" t="n">
        <v>15150</v>
      </c>
      <c r="J55" t="n">
        <v>-15010</v>
      </c>
    </row>
  </sheetData>
  <autoFilter ref="A1:J5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21" customWidth="1" min="5" max="5"/>
    <col width="19" customWidth="1" min="6" max="6"/>
    <col width="15" customWidth="1" min="7" max="7"/>
    <col width="16" customWidth="1" min="8" max="8"/>
    <col width="21" customWidth="1" min="9" max="9"/>
    <col width="24" customWidth="1" min="10" max="10"/>
  </cols>
  <sheetData>
    <row r="1">
      <c r="A1" s="1" t="inlineStr">
        <is>
          <t>Record_ID</t>
        </is>
      </c>
      <c r="B1" s="1" t="inlineStr">
        <is>
          <t>Product</t>
        </is>
      </c>
      <c r="C1" s="1" t="inlineStr">
        <is>
          <t>Region</t>
        </is>
      </c>
      <c r="D1" s="1" t="inlineStr">
        <is>
          <t>Avg_Daily_Demand</t>
        </is>
      </c>
      <c r="E1" s="1" t="inlineStr">
        <is>
          <t>Avg_Lead_Time_Days</t>
        </is>
      </c>
      <c r="F1" s="1" t="inlineStr">
        <is>
          <t>Lead_Time_Demand</t>
        </is>
      </c>
      <c r="G1" s="1" t="inlineStr">
        <is>
          <t>Safety_Stock</t>
        </is>
      </c>
      <c r="H1" s="1" t="inlineStr">
        <is>
          <t>Reorder_Point</t>
        </is>
      </c>
      <c r="I1" s="1" t="inlineStr">
        <is>
          <t>Reorder_Point_Calc</t>
        </is>
      </c>
      <c r="J1" s="1" t="inlineStr">
        <is>
          <t>Reorder_Coverage_Days</t>
        </is>
      </c>
    </row>
    <row r="2">
      <c r="A2" t="n">
        <v>1</v>
      </c>
      <c r="B2" t="inlineStr">
        <is>
          <t>Gears</t>
        </is>
      </c>
      <c r="C2" t="inlineStr">
        <is>
          <t>North</t>
        </is>
      </c>
      <c r="D2" t="n">
        <v>180</v>
      </c>
      <c r="E2" t="n">
        <v>420</v>
      </c>
      <c r="F2" t="n">
        <v>75600</v>
      </c>
      <c r="G2" t="n">
        <v>140</v>
      </c>
      <c r="H2" t="n">
        <v>75740</v>
      </c>
      <c r="I2" t="n">
        <v>75740</v>
      </c>
      <c r="J2" t="n">
        <v>420.7777777777778</v>
      </c>
    </row>
    <row r="3">
      <c r="A3" t="n">
        <v>2</v>
      </c>
      <c r="B3" t="inlineStr">
        <is>
          <t>Gears</t>
        </is>
      </c>
      <c r="C3" t="inlineStr">
        <is>
          <t>South</t>
        </is>
      </c>
      <c r="D3" t="n">
        <v>184</v>
      </c>
      <c r="E3" t="n">
        <v>440</v>
      </c>
      <c r="F3" t="n">
        <v>80960</v>
      </c>
      <c r="G3" t="n">
        <v>143</v>
      </c>
      <c r="H3" t="n">
        <v>81103</v>
      </c>
      <c r="I3" t="n">
        <v>81103</v>
      </c>
      <c r="J3" t="n">
        <v>440.7771739130435</v>
      </c>
    </row>
    <row r="4">
      <c r="A4" t="n">
        <v>3</v>
      </c>
      <c r="B4" t="inlineStr">
        <is>
          <t>Gears</t>
        </is>
      </c>
      <c r="C4" t="inlineStr">
        <is>
          <t>West</t>
        </is>
      </c>
      <c r="D4" t="n">
        <v>188</v>
      </c>
      <c r="E4" t="n">
        <v>460</v>
      </c>
      <c r="F4" t="n">
        <v>86480</v>
      </c>
      <c r="G4" t="n">
        <v>146</v>
      </c>
      <c r="H4" t="n">
        <v>86626</v>
      </c>
      <c r="I4" t="n">
        <v>86626</v>
      </c>
      <c r="J4" t="n">
        <v>460.7765957446808</v>
      </c>
    </row>
    <row r="5">
      <c r="A5" t="n">
        <v>4</v>
      </c>
      <c r="B5" t="inlineStr">
        <is>
          <t>Shafts</t>
        </is>
      </c>
      <c r="C5" t="inlineStr">
        <is>
          <t>North</t>
        </is>
      </c>
      <c r="D5" t="n">
        <v>147</v>
      </c>
      <c r="E5" t="n">
        <v>360</v>
      </c>
      <c r="F5" t="n">
        <v>52920</v>
      </c>
      <c r="G5" t="n">
        <v>127</v>
      </c>
      <c r="H5" t="n">
        <v>53047</v>
      </c>
      <c r="I5" t="n">
        <v>53047</v>
      </c>
      <c r="J5" t="n">
        <v>360.8639455782313</v>
      </c>
    </row>
    <row r="6">
      <c r="A6" t="n">
        <v>5</v>
      </c>
      <c r="B6" t="inlineStr">
        <is>
          <t>Shafts</t>
        </is>
      </c>
      <c r="C6" t="inlineStr">
        <is>
          <t>South</t>
        </is>
      </c>
      <c r="D6" t="n">
        <v>151</v>
      </c>
      <c r="E6" t="n">
        <v>380</v>
      </c>
      <c r="F6" t="n">
        <v>57380</v>
      </c>
      <c r="G6" t="n">
        <v>130</v>
      </c>
      <c r="H6" t="n">
        <v>57510</v>
      </c>
      <c r="I6" t="n">
        <v>57510</v>
      </c>
      <c r="J6" t="n">
        <v>380.8609271523179</v>
      </c>
    </row>
    <row r="7">
      <c r="A7" t="n">
        <v>6</v>
      </c>
      <c r="B7" t="inlineStr">
        <is>
          <t>Shafts</t>
        </is>
      </c>
      <c r="C7" t="inlineStr">
        <is>
          <t>West</t>
        </is>
      </c>
      <c r="D7" t="n">
        <v>155</v>
      </c>
      <c r="E7" t="n">
        <v>400</v>
      </c>
      <c r="F7" t="n">
        <v>62000</v>
      </c>
      <c r="G7" t="n">
        <v>133</v>
      </c>
      <c r="H7" t="n">
        <v>62133</v>
      </c>
      <c r="I7" t="n">
        <v>62133</v>
      </c>
      <c r="J7" t="n">
        <v>400.858064516129</v>
      </c>
    </row>
    <row r="8">
      <c r="A8" t="n">
        <v>7</v>
      </c>
      <c r="B8" t="inlineStr">
        <is>
          <t>Bearings</t>
        </is>
      </c>
      <c r="C8" t="inlineStr">
        <is>
          <t>North</t>
        </is>
      </c>
      <c r="D8" t="n">
        <v>124</v>
      </c>
      <c r="E8" t="n">
        <v>300</v>
      </c>
      <c r="F8" t="n">
        <v>37200</v>
      </c>
      <c r="G8" t="n">
        <v>114</v>
      </c>
      <c r="H8" t="n">
        <v>37314</v>
      </c>
      <c r="I8" t="n">
        <v>37314</v>
      </c>
      <c r="J8" t="n">
        <v>300.9193548387097</v>
      </c>
    </row>
    <row r="9">
      <c r="A9" t="n">
        <v>8</v>
      </c>
      <c r="B9" t="inlineStr">
        <is>
          <t>Bearings</t>
        </is>
      </c>
      <c r="C9" t="inlineStr">
        <is>
          <t>South</t>
        </is>
      </c>
      <c r="D9" t="n">
        <v>128</v>
      </c>
      <c r="E9" t="n">
        <v>320</v>
      </c>
      <c r="F9" t="n">
        <v>40960</v>
      </c>
      <c r="G9" t="n">
        <v>117</v>
      </c>
      <c r="H9" t="n">
        <v>41077</v>
      </c>
      <c r="I9" t="n">
        <v>41077</v>
      </c>
      <c r="J9" t="n">
        <v>320.9140625</v>
      </c>
    </row>
    <row r="10">
      <c r="A10" t="n">
        <v>9</v>
      </c>
      <c r="B10" t="inlineStr">
        <is>
          <t>Bearings</t>
        </is>
      </c>
      <c r="C10" t="inlineStr">
        <is>
          <t>West</t>
        </is>
      </c>
      <c r="D10" t="n">
        <v>132</v>
      </c>
      <c r="E10" t="n">
        <v>340</v>
      </c>
      <c r="F10" t="n">
        <v>44880</v>
      </c>
      <c r="G10" t="n">
        <v>120</v>
      </c>
      <c r="H10" t="n">
        <v>45000</v>
      </c>
      <c r="I10" t="n">
        <v>45000</v>
      </c>
      <c r="J10" t="n">
        <v>340.9090909090909</v>
      </c>
    </row>
    <row r="11">
      <c r="A11" t="n">
        <v>10</v>
      </c>
      <c r="B11" t="inlineStr">
        <is>
          <t>Gears</t>
        </is>
      </c>
      <c r="C11" t="inlineStr">
        <is>
          <t>North</t>
        </is>
      </c>
      <c r="D11" t="n">
        <v>183</v>
      </c>
      <c r="E11" t="n">
        <v>430</v>
      </c>
      <c r="F11" t="n">
        <v>78690</v>
      </c>
      <c r="G11" t="n">
        <v>144</v>
      </c>
      <c r="H11" t="n">
        <v>78834</v>
      </c>
      <c r="I11" t="n">
        <v>78834</v>
      </c>
      <c r="J11" t="n">
        <v>430.7868852459017</v>
      </c>
    </row>
    <row r="12">
      <c r="A12" t="n">
        <v>11</v>
      </c>
      <c r="B12" t="inlineStr">
        <is>
          <t>Gears</t>
        </is>
      </c>
      <c r="C12" t="inlineStr">
        <is>
          <t>South</t>
        </is>
      </c>
      <c r="D12" t="n">
        <v>187</v>
      </c>
      <c r="E12" t="n">
        <v>450</v>
      </c>
      <c r="F12" t="n">
        <v>84150</v>
      </c>
      <c r="G12" t="n">
        <v>147</v>
      </c>
      <c r="H12" t="n">
        <v>84297</v>
      </c>
      <c r="I12" t="n">
        <v>84297</v>
      </c>
      <c r="J12" t="n">
        <v>450.7860962566845</v>
      </c>
    </row>
    <row r="13">
      <c r="A13" t="n">
        <v>12</v>
      </c>
      <c r="B13" t="inlineStr">
        <is>
          <t>Gears</t>
        </is>
      </c>
      <c r="C13" t="inlineStr">
        <is>
          <t>West</t>
        </is>
      </c>
      <c r="D13" t="n">
        <v>191</v>
      </c>
      <c r="E13" t="n">
        <v>470</v>
      </c>
      <c r="F13" t="n">
        <v>89770</v>
      </c>
      <c r="G13" t="n">
        <v>150</v>
      </c>
      <c r="H13" t="n">
        <v>89920</v>
      </c>
      <c r="I13" t="n">
        <v>89920</v>
      </c>
      <c r="J13" t="n">
        <v>470.7853403141361</v>
      </c>
    </row>
    <row r="14">
      <c r="A14" t="n">
        <v>13</v>
      </c>
      <c r="B14" t="inlineStr">
        <is>
          <t>Shafts</t>
        </is>
      </c>
      <c r="C14" t="inlineStr">
        <is>
          <t>North</t>
        </is>
      </c>
      <c r="D14" t="n">
        <v>150</v>
      </c>
      <c r="E14" t="n">
        <v>370</v>
      </c>
      <c r="F14" t="n">
        <v>55500</v>
      </c>
      <c r="G14" t="n">
        <v>131</v>
      </c>
      <c r="H14" t="n">
        <v>55631</v>
      </c>
      <c r="I14" t="n">
        <v>55631</v>
      </c>
      <c r="J14" t="n">
        <v>370.8733333333333</v>
      </c>
    </row>
    <row r="15">
      <c r="A15" t="n">
        <v>14</v>
      </c>
      <c r="B15" t="inlineStr">
        <is>
          <t>Shafts</t>
        </is>
      </c>
      <c r="C15" t="inlineStr">
        <is>
          <t>South</t>
        </is>
      </c>
      <c r="D15" t="n">
        <v>154</v>
      </c>
      <c r="E15" t="n">
        <v>390</v>
      </c>
      <c r="F15" t="n">
        <v>60060</v>
      </c>
      <c r="G15" t="n">
        <v>134</v>
      </c>
      <c r="H15" t="n">
        <v>60194</v>
      </c>
      <c r="I15" t="n">
        <v>60194</v>
      </c>
      <c r="J15" t="n">
        <v>390.8701298701299</v>
      </c>
    </row>
    <row r="16">
      <c r="A16" t="n">
        <v>15</v>
      </c>
      <c r="B16" t="inlineStr">
        <is>
          <t>Shafts</t>
        </is>
      </c>
      <c r="C16" t="inlineStr">
        <is>
          <t>West</t>
        </is>
      </c>
      <c r="D16" t="n">
        <v>158</v>
      </c>
      <c r="E16" t="n">
        <v>410</v>
      </c>
      <c r="F16" t="n">
        <v>64780</v>
      </c>
      <c r="G16" t="n">
        <v>137</v>
      </c>
      <c r="H16" t="n">
        <v>64917</v>
      </c>
      <c r="I16" t="n">
        <v>64917</v>
      </c>
      <c r="J16" t="n">
        <v>410.867088607595</v>
      </c>
    </row>
    <row r="17">
      <c r="A17" t="n">
        <v>16</v>
      </c>
      <c r="B17" t="inlineStr">
        <is>
          <t>Bearings</t>
        </is>
      </c>
      <c r="C17" t="inlineStr">
        <is>
          <t>North</t>
        </is>
      </c>
      <c r="D17" t="n">
        <v>127</v>
      </c>
      <c r="E17" t="n">
        <v>310</v>
      </c>
      <c r="F17" t="n">
        <v>39370</v>
      </c>
      <c r="G17" t="n">
        <v>118</v>
      </c>
      <c r="H17" t="n">
        <v>39488</v>
      </c>
      <c r="I17" t="n">
        <v>39488</v>
      </c>
      <c r="J17" t="n">
        <v>310.9291338582677</v>
      </c>
    </row>
    <row r="18">
      <c r="A18" t="n">
        <v>17</v>
      </c>
      <c r="B18" t="inlineStr">
        <is>
          <t>Bearings</t>
        </is>
      </c>
      <c r="C18" t="inlineStr">
        <is>
          <t>South</t>
        </is>
      </c>
      <c r="D18" t="n">
        <v>131</v>
      </c>
      <c r="E18" t="n">
        <v>330</v>
      </c>
      <c r="F18" t="n">
        <v>43230</v>
      </c>
      <c r="G18" t="n">
        <v>121</v>
      </c>
      <c r="H18" t="n">
        <v>43351</v>
      </c>
      <c r="I18" t="n">
        <v>43351</v>
      </c>
      <c r="J18" t="n">
        <v>330.9236641221374</v>
      </c>
    </row>
    <row r="19">
      <c r="A19" t="n">
        <v>18</v>
      </c>
      <c r="B19" t="inlineStr">
        <is>
          <t>Bearings</t>
        </is>
      </c>
      <c r="C19" t="inlineStr">
        <is>
          <t>West</t>
        </is>
      </c>
      <c r="D19" t="n">
        <v>135</v>
      </c>
      <c r="E19" t="n">
        <v>350</v>
      </c>
      <c r="F19" t="n">
        <v>47250</v>
      </c>
      <c r="G19" t="n">
        <v>124</v>
      </c>
      <c r="H19" t="n">
        <v>47374</v>
      </c>
      <c r="I19" t="n">
        <v>47374</v>
      </c>
      <c r="J19" t="n">
        <v>350.9185185185185</v>
      </c>
    </row>
    <row r="20">
      <c r="A20" t="n">
        <v>19</v>
      </c>
      <c r="B20" t="inlineStr">
        <is>
          <t>Gears</t>
        </is>
      </c>
      <c r="C20" t="inlineStr">
        <is>
          <t>North</t>
        </is>
      </c>
      <c r="D20" t="n">
        <v>186</v>
      </c>
      <c r="E20" t="n">
        <v>420</v>
      </c>
      <c r="F20" t="n">
        <v>78120</v>
      </c>
      <c r="G20" t="n">
        <v>148</v>
      </c>
      <c r="H20" t="n">
        <v>78268</v>
      </c>
      <c r="I20" t="n">
        <v>78268</v>
      </c>
      <c r="J20" t="n">
        <v>420.7956989247312</v>
      </c>
    </row>
    <row r="21">
      <c r="A21" t="n">
        <v>20</v>
      </c>
      <c r="B21" t="inlineStr">
        <is>
          <t>Gears</t>
        </is>
      </c>
      <c r="C21" t="inlineStr">
        <is>
          <t>South</t>
        </is>
      </c>
      <c r="D21" t="n">
        <v>190</v>
      </c>
      <c r="E21" t="n">
        <v>440</v>
      </c>
      <c r="F21" t="n">
        <v>83600</v>
      </c>
      <c r="G21" t="n">
        <v>151</v>
      </c>
      <c r="H21" t="n">
        <v>83751</v>
      </c>
      <c r="I21" t="n">
        <v>83751</v>
      </c>
      <c r="J21" t="n">
        <v>440.7947368421052</v>
      </c>
    </row>
    <row r="22">
      <c r="A22" t="n">
        <v>21</v>
      </c>
      <c r="B22" t="inlineStr">
        <is>
          <t>Gears</t>
        </is>
      </c>
      <c r="C22" t="inlineStr">
        <is>
          <t>West</t>
        </is>
      </c>
      <c r="D22" t="n">
        <v>194</v>
      </c>
      <c r="E22" t="n">
        <v>460</v>
      </c>
      <c r="F22" t="n">
        <v>89240</v>
      </c>
      <c r="G22" t="n">
        <v>154</v>
      </c>
      <c r="H22" t="n">
        <v>89394</v>
      </c>
      <c r="I22" t="n">
        <v>89394</v>
      </c>
      <c r="J22" t="n">
        <v>460.7938144329897</v>
      </c>
    </row>
    <row r="23">
      <c r="A23" t="n">
        <v>22</v>
      </c>
      <c r="B23" t="inlineStr">
        <is>
          <t>Shafts</t>
        </is>
      </c>
      <c r="C23" t="inlineStr">
        <is>
          <t>North</t>
        </is>
      </c>
      <c r="D23" t="n">
        <v>153</v>
      </c>
      <c r="E23" t="n">
        <v>360</v>
      </c>
      <c r="F23" t="n">
        <v>55080</v>
      </c>
      <c r="G23" t="n">
        <v>135</v>
      </c>
      <c r="H23" t="n">
        <v>55215</v>
      </c>
      <c r="I23" t="n">
        <v>55215</v>
      </c>
      <c r="J23" t="n">
        <v>360.8823529411765</v>
      </c>
    </row>
    <row r="24">
      <c r="A24" t="n">
        <v>23</v>
      </c>
      <c r="B24" t="inlineStr">
        <is>
          <t>Shafts</t>
        </is>
      </c>
      <c r="C24" t="inlineStr">
        <is>
          <t>South</t>
        </is>
      </c>
      <c r="D24" t="n">
        <v>157</v>
      </c>
      <c r="E24" t="n">
        <v>380</v>
      </c>
      <c r="F24" t="n">
        <v>59660</v>
      </c>
      <c r="G24" t="n">
        <v>138</v>
      </c>
      <c r="H24" t="n">
        <v>59798</v>
      </c>
      <c r="I24" t="n">
        <v>59798</v>
      </c>
      <c r="J24" t="n">
        <v>380.8789808917197</v>
      </c>
    </row>
    <row r="25">
      <c r="A25" t="n">
        <v>24</v>
      </c>
      <c r="B25" t="inlineStr">
        <is>
          <t>Shafts</t>
        </is>
      </c>
      <c r="C25" t="inlineStr">
        <is>
          <t>West</t>
        </is>
      </c>
      <c r="D25" t="n">
        <v>161</v>
      </c>
      <c r="E25" t="n">
        <v>400</v>
      </c>
      <c r="F25" t="n">
        <v>64400</v>
      </c>
      <c r="G25" t="n">
        <v>141</v>
      </c>
      <c r="H25" t="n">
        <v>64541</v>
      </c>
      <c r="I25" t="n">
        <v>64541</v>
      </c>
      <c r="J25" t="n">
        <v>400.8757763975156</v>
      </c>
    </row>
    <row r="26">
      <c r="A26" t="n">
        <v>25</v>
      </c>
      <c r="B26" t="inlineStr">
        <is>
          <t>Bearings</t>
        </is>
      </c>
      <c r="C26" t="inlineStr">
        <is>
          <t>North</t>
        </is>
      </c>
      <c r="D26" t="n">
        <v>130</v>
      </c>
      <c r="E26" t="n">
        <v>300</v>
      </c>
      <c r="F26" t="n">
        <v>39000</v>
      </c>
      <c r="G26" t="n">
        <v>122</v>
      </c>
      <c r="H26" t="n">
        <v>39122</v>
      </c>
      <c r="I26" t="n">
        <v>39122</v>
      </c>
      <c r="J26" t="n">
        <v>300.9384615384615</v>
      </c>
    </row>
    <row r="27">
      <c r="A27" t="n">
        <v>26</v>
      </c>
      <c r="B27" t="inlineStr">
        <is>
          <t>Bearings</t>
        </is>
      </c>
      <c r="C27" t="inlineStr">
        <is>
          <t>South</t>
        </is>
      </c>
      <c r="D27" t="n">
        <v>134</v>
      </c>
      <c r="E27" t="n">
        <v>320</v>
      </c>
      <c r="F27" t="n">
        <v>42880</v>
      </c>
      <c r="G27" t="n">
        <v>125</v>
      </c>
      <c r="H27" t="n">
        <v>43005</v>
      </c>
      <c r="I27" t="n">
        <v>43005</v>
      </c>
      <c r="J27" t="n">
        <v>320.9328358208955</v>
      </c>
    </row>
    <row r="28">
      <c r="A28" t="n">
        <v>27</v>
      </c>
      <c r="B28" t="inlineStr">
        <is>
          <t>Bearings</t>
        </is>
      </c>
      <c r="C28" t="inlineStr">
        <is>
          <t>West</t>
        </is>
      </c>
      <c r="D28" t="n">
        <v>138</v>
      </c>
      <c r="E28" t="n">
        <v>340</v>
      </c>
      <c r="F28" t="n">
        <v>46920</v>
      </c>
      <c r="G28" t="n">
        <v>128</v>
      </c>
      <c r="H28" t="n">
        <v>47048</v>
      </c>
      <c r="I28" t="n">
        <v>47048</v>
      </c>
      <c r="J28" t="n">
        <v>340.9275362318841</v>
      </c>
    </row>
    <row r="29">
      <c r="A29" t="n">
        <v>28</v>
      </c>
      <c r="B29" t="inlineStr">
        <is>
          <t>Gears</t>
        </is>
      </c>
      <c r="C29" t="inlineStr">
        <is>
          <t>North</t>
        </is>
      </c>
      <c r="D29" t="n">
        <v>189</v>
      </c>
      <c r="E29" t="n">
        <v>430</v>
      </c>
      <c r="F29" t="n">
        <v>81270</v>
      </c>
      <c r="G29" t="n">
        <v>152</v>
      </c>
      <c r="H29" t="n">
        <v>81422</v>
      </c>
      <c r="I29" t="n">
        <v>81422</v>
      </c>
      <c r="J29" t="n">
        <v>430.8042328042328</v>
      </c>
    </row>
    <row r="30">
      <c r="A30" t="n">
        <v>29</v>
      </c>
      <c r="B30" t="inlineStr">
        <is>
          <t>Gears</t>
        </is>
      </c>
      <c r="C30" t="inlineStr">
        <is>
          <t>South</t>
        </is>
      </c>
      <c r="D30" t="n">
        <v>193</v>
      </c>
      <c r="E30" t="n">
        <v>450</v>
      </c>
      <c r="F30" t="n">
        <v>86850</v>
      </c>
      <c r="G30" t="n">
        <v>155</v>
      </c>
      <c r="H30" t="n">
        <v>87005</v>
      </c>
      <c r="I30" t="n">
        <v>87005</v>
      </c>
      <c r="J30" t="n">
        <v>450.8031088082902</v>
      </c>
    </row>
    <row r="31">
      <c r="A31" t="n">
        <v>30</v>
      </c>
      <c r="B31" t="inlineStr">
        <is>
          <t>Gears</t>
        </is>
      </c>
      <c r="C31" t="inlineStr">
        <is>
          <t>West</t>
        </is>
      </c>
      <c r="D31" t="n">
        <v>197</v>
      </c>
      <c r="E31" t="n">
        <v>470</v>
      </c>
      <c r="F31" t="n">
        <v>92590</v>
      </c>
      <c r="G31" t="n">
        <v>158</v>
      </c>
      <c r="H31" t="n">
        <v>92748</v>
      </c>
      <c r="I31" t="n">
        <v>92748</v>
      </c>
      <c r="J31" t="n">
        <v>470.8020304568528</v>
      </c>
    </row>
    <row r="32">
      <c r="A32" t="n">
        <v>31</v>
      </c>
      <c r="B32" t="inlineStr">
        <is>
          <t>Shafts</t>
        </is>
      </c>
      <c r="C32" t="inlineStr">
        <is>
          <t>North</t>
        </is>
      </c>
      <c r="D32" t="n">
        <v>156</v>
      </c>
      <c r="E32" t="n">
        <v>370</v>
      </c>
      <c r="F32" t="n">
        <v>57720</v>
      </c>
      <c r="G32" t="n">
        <v>139</v>
      </c>
      <c r="H32" t="n">
        <v>57859</v>
      </c>
      <c r="I32" t="n">
        <v>57859</v>
      </c>
      <c r="J32" t="n">
        <v>370.8910256410256</v>
      </c>
    </row>
    <row r="33">
      <c r="A33" t="n">
        <v>32</v>
      </c>
      <c r="B33" t="inlineStr">
        <is>
          <t>Shafts</t>
        </is>
      </c>
      <c r="C33" t="inlineStr">
        <is>
          <t>South</t>
        </is>
      </c>
      <c r="D33" t="n">
        <v>160</v>
      </c>
      <c r="E33" t="n">
        <v>390</v>
      </c>
      <c r="F33" t="n">
        <v>62400</v>
      </c>
      <c r="G33" t="n">
        <v>142</v>
      </c>
      <c r="H33" t="n">
        <v>62542</v>
      </c>
      <c r="I33" t="n">
        <v>62542</v>
      </c>
      <c r="J33" t="n">
        <v>390.8875</v>
      </c>
    </row>
    <row r="34">
      <c r="A34" t="n">
        <v>33</v>
      </c>
      <c r="B34" t="inlineStr">
        <is>
          <t>Shafts</t>
        </is>
      </c>
      <c r="C34" t="inlineStr">
        <is>
          <t>West</t>
        </is>
      </c>
      <c r="D34" t="n">
        <v>164</v>
      </c>
      <c r="E34" t="n">
        <v>410</v>
      </c>
      <c r="F34" t="n">
        <v>67240</v>
      </c>
      <c r="G34" t="n">
        <v>145</v>
      </c>
      <c r="H34" t="n">
        <v>67385</v>
      </c>
      <c r="I34" t="n">
        <v>67385</v>
      </c>
      <c r="J34" t="n">
        <v>410.8841463414634</v>
      </c>
    </row>
    <row r="35">
      <c r="A35" t="n">
        <v>34</v>
      </c>
      <c r="B35" t="inlineStr">
        <is>
          <t>Bearings</t>
        </is>
      </c>
      <c r="C35" t="inlineStr">
        <is>
          <t>North</t>
        </is>
      </c>
      <c r="D35" t="n">
        <v>133</v>
      </c>
      <c r="E35" t="n">
        <v>310</v>
      </c>
      <c r="F35" t="n">
        <v>41230</v>
      </c>
      <c r="G35" t="n">
        <v>126</v>
      </c>
      <c r="H35" t="n">
        <v>41356</v>
      </c>
      <c r="I35" t="n">
        <v>41356</v>
      </c>
      <c r="J35" t="n">
        <v>310.9473684210527</v>
      </c>
    </row>
    <row r="36">
      <c r="A36" t="n">
        <v>35</v>
      </c>
      <c r="B36" t="inlineStr">
        <is>
          <t>Bearings</t>
        </is>
      </c>
      <c r="C36" t="inlineStr">
        <is>
          <t>South</t>
        </is>
      </c>
      <c r="D36" t="n">
        <v>137</v>
      </c>
      <c r="E36" t="n">
        <v>330</v>
      </c>
      <c r="F36" t="n">
        <v>45210</v>
      </c>
      <c r="G36" t="n">
        <v>129</v>
      </c>
      <c r="H36" t="n">
        <v>45339</v>
      </c>
      <c r="I36" t="n">
        <v>45339</v>
      </c>
      <c r="J36" t="n">
        <v>330.9416058394161</v>
      </c>
    </row>
    <row r="37">
      <c r="A37" t="n">
        <v>36</v>
      </c>
      <c r="B37" t="inlineStr">
        <is>
          <t>Bearings</t>
        </is>
      </c>
      <c r="C37" t="inlineStr">
        <is>
          <t>West</t>
        </is>
      </c>
      <c r="D37" t="n">
        <v>141</v>
      </c>
      <c r="E37" t="n">
        <v>350</v>
      </c>
      <c r="F37" t="n">
        <v>49350</v>
      </c>
      <c r="G37" t="n">
        <v>132</v>
      </c>
      <c r="H37" t="n">
        <v>49482</v>
      </c>
      <c r="I37" t="n">
        <v>49482</v>
      </c>
      <c r="J37" t="n">
        <v>350.9361702127659</v>
      </c>
    </row>
    <row r="38">
      <c r="A38" t="n">
        <v>37</v>
      </c>
      <c r="B38" t="inlineStr">
        <is>
          <t>Gears</t>
        </is>
      </c>
      <c r="C38" t="inlineStr">
        <is>
          <t>North</t>
        </is>
      </c>
      <c r="D38" t="n">
        <v>192</v>
      </c>
      <c r="E38" t="n">
        <v>420</v>
      </c>
      <c r="F38" t="n">
        <v>80640</v>
      </c>
      <c r="G38" t="n">
        <v>156</v>
      </c>
      <c r="H38" t="n">
        <v>80796</v>
      </c>
      <c r="I38" t="n">
        <v>80796</v>
      </c>
      <c r="J38" t="n">
        <v>420.8125</v>
      </c>
    </row>
    <row r="39">
      <c r="A39" t="n">
        <v>38</v>
      </c>
      <c r="B39" t="inlineStr">
        <is>
          <t>Gears</t>
        </is>
      </c>
      <c r="C39" t="inlineStr">
        <is>
          <t>South</t>
        </is>
      </c>
      <c r="D39" t="n">
        <v>196</v>
      </c>
      <c r="E39" t="n">
        <v>440</v>
      </c>
      <c r="F39" t="n">
        <v>86240</v>
      </c>
      <c r="G39" t="n">
        <v>159</v>
      </c>
      <c r="H39" t="n">
        <v>86399</v>
      </c>
      <c r="I39" t="n">
        <v>86399</v>
      </c>
      <c r="J39" t="n">
        <v>440.8112244897959</v>
      </c>
    </row>
    <row r="40">
      <c r="A40" t="n">
        <v>39</v>
      </c>
      <c r="B40" t="inlineStr">
        <is>
          <t>Gears</t>
        </is>
      </c>
      <c r="C40" t="inlineStr">
        <is>
          <t>West</t>
        </is>
      </c>
      <c r="D40" t="n">
        <v>200</v>
      </c>
      <c r="E40" t="n">
        <v>460</v>
      </c>
      <c r="F40" t="n">
        <v>92000</v>
      </c>
      <c r="G40" t="n">
        <v>162</v>
      </c>
      <c r="H40" t="n">
        <v>92162</v>
      </c>
      <c r="I40" t="n">
        <v>92162</v>
      </c>
      <c r="J40" t="n">
        <v>460.81</v>
      </c>
    </row>
    <row r="41">
      <c r="A41" t="n">
        <v>40</v>
      </c>
      <c r="B41" t="inlineStr">
        <is>
          <t>Shafts</t>
        </is>
      </c>
      <c r="C41" t="inlineStr">
        <is>
          <t>North</t>
        </is>
      </c>
      <c r="D41" t="n">
        <v>159</v>
      </c>
      <c r="E41" t="n">
        <v>360</v>
      </c>
      <c r="F41" t="n">
        <v>57240</v>
      </c>
      <c r="G41" t="n">
        <v>143</v>
      </c>
      <c r="H41" t="n">
        <v>57383</v>
      </c>
      <c r="I41" t="n">
        <v>57383</v>
      </c>
      <c r="J41" t="n">
        <v>360.8993710691824</v>
      </c>
    </row>
    <row r="42">
      <c r="A42" t="n">
        <v>41</v>
      </c>
      <c r="B42" t="inlineStr">
        <is>
          <t>Shafts</t>
        </is>
      </c>
      <c r="C42" t="inlineStr">
        <is>
          <t>South</t>
        </is>
      </c>
      <c r="D42" t="n">
        <v>163</v>
      </c>
      <c r="E42" t="n">
        <v>380</v>
      </c>
      <c r="F42" t="n">
        <v>61940</v>
      </c>
      <c r="G42" t="n">
        <v>146</v>
      </c>
      <c r="H42" t="n">
        <v>62086</v>
      </c>
      <c r="I42" t="n">
        <v>62086</v>
      </c>
      <c r="J42" t="n">
        <v>380.8957055214724</v>
      </c>
    </row>
    <row r="43">
      <c r="A43" t="n">
        <v>42</v>
      </c>
      <c r="B43" t="inlineStr">
        <is>
          <t>Shafts</t>
        </is>
      </c>
      <c r="C43" t="inlineStr">
        <is>
          <t>West</t>
        </is>
      </c>
      <c r="D43" t="n">
        <v>167</v>
      </c>
      <c r="E43" t="n">
        <v>400</v>
      </c>
      <c r="F43" t="n">
        <v>66800</v>
      </c>
      <c r="G43" t="n">
        <v>149</v>
      </c>
      <c r="H43" t="n">
        <v>66949</v>
      </c>
      <c r="I43" t="n">
        <v>66949</v>
      </c>
      <c r="J43" t="n">
        <v>400.8922155688623</v>
      </c>
    </row>
    <row r="44">
      <c r="A44" t="n">
        <v>43</v>
      </c>
      <c r="B44" t="inlineStr">
        <is>
          <t>Bearings</t>
        </is>
      </c>
      <c r="C44" t="inlineStr">
        <is>
          <t>North</t>
        </is>
      </c>
      <c r="D44" t="n">
        <v>136</v>
      </c>
      <c r="E44" t="n">
        <v>300</v>
      </c>
      <c r="F44" t="n">
        <v>40800</v>
      </c>
      <c r="G44" t="n">
        <v>130</v>
      </c>
      <c r="H44" t="n">
        <v>40930</v>
      </c>
      <c r="I44" t="n">
        <v>40930</v>
      </c>
      <c r="J44" t="n">
        <v>300.9558823529412</v>
      </c>
    </row>
    <row r="45">
      <c r="A45" t="n">
        <v>44</v>
      </c>
      <c r="B45" t="inlineStr">
        <is>
          <t>Bearings</t>
        </is>
      </c>
      <c r="C45" t="inlineStr">
        <is>
          <t>South</t>
        </is>
      </c>
      <c r="D45" t="n">
        <v>140</v>
      </c>
      <c r="E45" t="n">
        <v>320</v>
      </c>
      <c r="F45" t="n">
        <v>44800</v>
      </c>
      <c r="G45" t="n">
        <v>133</v>
      </c>
      <c r="H45" t="n">
        <v>44933</v>
      </c>
      <c r="I45" t="n">
        <v>44933</v>
      </c>
      <c r="J45" t="n">
        <v>320.95</v>
      </c>
    </row>
    <row r="46">
      <c r="A46" t="n">
        <v>45</v>
      </c>
      <c r="B46" t="inlineStr">
        <is>
          <t>Bearings</t>
        </is>
      </c>
      <c r="C46" t="inlineStr">
        <is>
          <t>West</t>
        </is>
      </c>
      <c r="D46" t="n">
        <v>144</v>
      </c>
      <c r="E46" t="n">
        <v>340</v>
      </c>
      <c r="F46" t="n">
        <v>48960</v>
      </c>
      <c r="G46" t="n">
        <v>136</v>
      </c>
      <c r="H46" t="n">
        <v>49096</v>
      </c>
      <c r="I46" t="n">
        <v>49096</v>
      </c>
      <c r="J46" t="n">
        <v>340.9444444444445</v>
      </c>
    </row>
    <row r="47">
      <c r="A47" t="n">
        <v>46</v>
      </c>
      <c r="B47" t="inlineStr">
        <is>
          <t>Gears</t>
        </is>
      </c>
      <c r="C47" t="inlineStr">
        <is>
          <t>North</t>
        </is>
      </c>
      <c r="D47" t="n">
        <v>195</v>
      </c>
      <c r="E47" t="n">
        <v>430</v>
      </c>
      <c r="F47" t="n">
        <v>83850</v>
      </c>
      <c r="G47" t="n">
        <v>160</v>
      </c>
      <c r="H47" t="n">
        <v>84010</v>
      </c>
      <c r="I47" t="n">
        <v>84010</v>
      </c>
      <c r="J47" t="n">
        <v>430.8205128205128</v>
      </c>
    </row>
    <row r="48">
      <c r="A48" t="n">
        <v>47</v>
      </c>
      <c r="B48" t="inlineStr">
        <is>
          <t>Gears</t>
        </is>
      </c>
      <c r="C48" t="inlineStr">
        <is>
          <t>South</t>
        </is>
      </c>
      <c r="D48" t="n">
        <v>199</v>
      </c>
      <c r="E48" t="n">
        <v>450</v>
      </c>
      <c r="F48" t="n">
        <v>89550</v>
      </c>
      <c r="G48" t="n">
        <v>163</v>
      </c>
      <c r="H48" t="n">
        <v>89713</v>
      </c>
      <c r="I48" t="n">
        <v>89713</v>
      </c>
      <c r="J48" t="n">
        <v>450.819095477387</v>
      </c>
    </row>
    <row r="49">
      <c r="A49" t="n">
        <v>48</v>
      </c>
      <c r="B49" t="inlineStr">
        <is>
          <t>Gears</t>
        </is>
      </c>
      <c r="C49" t="inlineStr">
        <is>
          <t>West</t>
        </is>
      </c>
      <c r="D49" t="n">
        <v>203</v>
      </c>
      <c r="E49" t="n">
        <v>470</v>
      </c>
      <c r="F49" t="n">
        <v>95410</v>
      </c>
      <c r="G49" t="n">
        <v>166</v>
      </c>
      <c r="H49" t="n">
        <v>95576</v>
      </c>
      <c r="I49" t="n">
        <v>95576</v>
      </c>
      <c r="J49" t="n">
        <v>470.8177339901478</v>
      </c>
    </row>
    <row r="50">
      <c r="A50" t="n">
        <v>49</v>
      </c>
      <c r="B50" t="inlineStr">
        <is>
          <t>Shafts</t>
        </is>
      </c>
      <c r="C50" t="inlineStr">
        <is>
          <t>North</t>
        </is>
      </c>
      <c r="D50" t="n">
        <v>162</v>
      </c>
      <c r="E50" t="n">
        <v>370</v>
      </c>
      <c r="F50" t="n">
        <v>59940</v>
      </c>
      <c r="G50" t="n">
        <v>147</v>
      </c>
      <c r="H50" t="n">
        <v>60087</v>
      </c>
      <c r="I50" t="n">
        <v>60087</v>
      </c>
      <c r="J50" t="n">
        <v>370.9074074074074</v>
      </c>
    </row>
    <row r="51">
      <c r="A51" t="n">
        <v>50</v>
      </c>
      <c r="B51" t="inlineStr">
        <is>
          <t>Shafts</t>
        </is>
      </c>
      <c r="C51" t="inlineStr">
        <is>
          <t>South</t>
        </is>
      </c>
      <c r="D51" t="n">
        <v>166</v>
      </c>
      <c r="E51" t="n">
        <v>390</v>
      </c>
      <c r="F51" t="n">
        <v>64740</v>
      </c>
      <c r="G51" t="n">
        <v>150</v>
      </c>
      <c r="H51" t="n">
        <v>64890</v>
      </c>
      <c r="I51" t="n">
        <v>64890</v>
      </c>
      <c r="J51" t="n">
        <v>390.9036144578313</v>
      </c>
    </row>
    <row r="52">
      <c r="A52" t="n">
        <v>51</v>
      </c>
      <c r="B52" t="inlineStr">
        <is>
          <t>Shafts</t>
        </is>
      </c>
      <c r="C52" t="inlineStr">
        <is>
          <t>West</t>
        </is>
      </c>
      <c r="D52" t="n">
        <v>170</v>
      </c>
      <c r="E52" t="n">
        <v>410</v>
      </c>
      <c r="F52" t="n">
        <v>69700</v>
      </c>
      <c r="G52" t="n">
        <v>153</v>
      </c>
      <c r="H52" t="n">
        <v>69853</v>
      </c>
      <c r="I52" t="n">
        <v>69853</v>
      </c>
      <c r="J52" t="n">
        <v>410.9</v>
      </c>
    </row>
    <row r="53">
      <c r="A53" t="n">
        <v>52</v>
      </c>
      <c r="B53" t="inlineStr">
        <is>
          <t>Bearings</t>
        </is>
      </c>
      <c r="C53" t="inlineStr">
        <is>
          <t>North</t>
        </is>
      </c>
      <c r="D53" t="n">
        <v>139</v>
      </c>
      <c r="E53" t="n">
        <v>310</v>
      </c>
      <c r="F53" t="n">
        <v>43090</v>
      </c>
      <c r="G53" t="n">
        <v>134</v>
      </c>
      <c r="H53" t="n">
        <v>43224</v>
      </c>
      <c r="I53" t="n">
        <v>43224</v>
      </c>
      <c r="J53" t="n">
        <v>310.9640287769784</v>
      </c>
    </row>
    <row r="54">
      <c r="A54" t="n">
        <v>53</v>
      </c>
      <c r="B54" t="inlineStr">
        <is>
          <t>Bearings</t>
        </is>
      </c>
      <c r="C54" t="inlineStr">
        <is>
          <t>South</t>
        </is>
      </c>
      <c r="D54" t="n">
        <v>143</v>
      </c>
      <c r="E54" t="n">
        <v>330</v>
      </c>
      <c r="F54" t="n">
        <v>47190</v>
      </c>
      <c r="G54" t="n">
        <v>137</v>
      </c>
      <c r="H54" t="n">
        <v>47327</v>
      </c>
      <c r="I54" t="n">
        <v>47327</v>
      </c>
      <c r="J54" t="n">
        <v>330.958041958042</v>
      </c>
    </row>
    <row r="55">
      <c r="A55" t="n">
        <v>54</v>
      </c>
      <c r="B55" t="inlineStr">
        <is>
          <t>Bearings</t>
        </is>
      </c>
      <c r="C55" t="inlineStr">
        <is>
          <t>West</t>
        </is>
      </c>
      <c r="D55" t="n">
        <v>147</v>
      </c>
      <c r="E55" t="n">
        <v>350</v>
      </c>
      <c r="F55" t="n">
        <v>51450</v>
      </c>
      <c r="G55" t="n">
        <v>140</v>
      </c>
      <c r="H55" t="n">
        <v>51590</v>
      </c>
      <c r="I55" t="n">
        <v>51590</v>
      </c>
      <c r="J55" t="n">
        <v>350.952380952381</v>
      </c>
    </row>
  </sheetData>
  <autoFilter ref="A1:J5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Status</t>
        </is>
      </c>
      <c r="B1" s="1" t="inlineStr">
        <is>
          <t>Records</t>
        </is>
      </c>
    </row>
    <row r="2">
      <c r="A2" t="inlineStr">
        <is>
          <t>Below Reorder Point</t>
        </is>
      </c>
      <c r="B2" t="n">
        <v>54</v>
      </c>
    </row>
  </sheetData>
  <autoFilter ref="A1:B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</cols>
  <sheetData>
    <row r="1">
      <c r="A1" s="1" t="inlineStr">
        <is>
          <t>Concept</t>
        </is>
      </c>
      <c r="B1" s="1" t="inlineStr">
        <is>
          <t>Meaning</t>
        </is>
      </c>
      <c r="C1" s="1" t="inlineStr">
        <is>
          <t>Review_Question</t>
        </is>
      </c>
    </row>
    <row r="2">
      <c r="A2" t="inlineStr">
        <is>
          <t>Safety Stock</t>
        </is>
      </c>
      <c r="B2" t="inlineStr">
        <is>
          <t>Buffer inventory used to absorb uncertainty.</t>
        </is>
      </c>
      <c r="C2" t="inlineStr">
        <is>
          <t>What uncertainty does the buffer address?</t>
        </is>
      </c>
    </row>
    <row r="3">
      <c r="A3" t="inlineStr">
        <is>
          <t>Reorder Point</t>
        </is>
      </c>
      <c r="B3" t="inlineStr">
        <is>
          <t>Inventory level that signals replenishment.</t>
        </is>
      </c>
      <c r="C3" t="inlineStr">
        <is>
          <t>When should replenishment be triggered?</t>
        </is>
      </c>
    </row>
    <row r="4">
      <c r="A4" t="inlineStr">
        <is>
          <t>Lead-Time Demand</t>
        </is>
      </c>
      <c r="B4" t="inlineStr">
        <is>
          <t>Expected demand during supplier lead time.</t>
        </is>
      </c>
      <c r="C4" t="inlineStr">
        <is>
          <t>How much demand occurs while waiting?</t>
        </is>
      </c>
    </row>
    <row r="5">
      <c r="A5" t="inlineStr">
        <is>
          <t>Average Daily Demand</t>
        </is>
      </c>
      <c r="B5" t="inlineStr">
        <is>
          <t>Typical daily demand used in the illustrative model.</t>
        </is>
      </c>
      <c r="C5" t="inlineStr">
        <is>
          <t>What is the normal daily requirement?</t>
        </is>
      </c>
    </row>
    <row r="6">
      <c r="A6" t="inlineStr">
        <is>
          <t>Lead Time</t>
        </is>
      </c>
      <c r="B6" t="inlineStr">
        <is>
          <t>Expected time between ordering and receiving stock.</t>
        </is>
      </c>
      <c r="C6" t="inlineStr">
        <is>
          <t>How long does replenishment take?</t>
        </is>
      </c>
    </row>
    <row r="7">
      <c r="A7" t="inlineStr">
        <is>
          <t>Stockout Risk</t>
        </is>
      </c>
      <c r="B7" t="inlineStr">
        <is>
          <t>Risk that inventory is insufficient before replenishment.</t>
        </is>
      </c>
      <c r="C7" t="inlineStr">
        <is>
          <t>Which records fall below the reorder point?</t>
        </is>
      </c>
    </row>
    <row r="8">
      <c r="A8" t="inlineStr">
        <is>
          <t>Demand Variability</t>
        </is>
      </c>
      <c r="B8" t="inlineStr">
        <is>
          <t>Variation in demand across observations.</t>
        </is>
      </c>
      <c r="C8" t="inlineStr">
        <is>
          <t>Is demand stable or changing?</t>
        </is>
      </c>
    </row>
    <row r="9">
      <c r="A9" t="inlineStr">
        <is>
          <t>Lead-Time Variability</t>
        </is>
      </c>
      <c r="B9" t="inlineStr">
        <is>
          <t>Variation in supplier replenishment time.</t>
        </is>
      </c>
      <c r="C9" t="inlineStr">
        <is>
          <t>Is lead time stable or changing?</t>
        </is>
      </c>
    </row>
  </sheetData>
  <autoFilter ref="A1:C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s="1" t="inlineStr">
        <is>
          <t>Question_No</t>
        </is>
      </c>
      <c r="B1" s="1" t="inlineStr">
        <is>
          <t>Question</t>
        </is>
      </c>
    </row>
    <row r="2">
      <c r="A2" t="n">
        <v>1</v>
      </c>
      <c r="B2" t="inlineStr">
        <is>
          <t>What is safety stock?</t>
        </is>
      </c>
    </row>
    <row r="3">
      <c r="A3" t="n">
        <v>2</v>
      </c>
      <c r="B3" t="inlineStr">
        <is>
          <t>What is a reorder point?</t>
        </is>
      </c>
    </row>
    <row r="4">
      <c r="A4" t="n">
        <v>3</v>
      </c>
      <c r="B4" t="inlineStr">
        <is>
          <t>Why is lead-time demand important?</t>
        </is>
      </c>
    </row>
    <row r="5">
      <c r="A5" t="n">
        <v>4</v>
      </c>
      <c r="B5" t="inlineStr">
        <is>
          <t>How does higher demand affect reorder point?</t>
        </is>
      </c>
    </row>
    <row r="6">
      <c r="A6" t="n">
        <v>5</v>
      </c>
      <c r="B6" t="inlineStr">
        <is>
          <t>How does longer lead time affect reorder point?</t>
        </is>
      </c>
    </row>
    <row r="7">
      <c r="A7" t="n">
        <v>6</v>
      </c>
      <c r="B7" t="inlineStr">
        <is>
          <t>Why can safety stock reduce stockout risk?</t>
        </is>
      </c>
    </row>
    <row r="8">
      <c r="A8" t="n">
        <v>7</v>
      </c>
      <c r="B8" t="inlineStr">
        <is>
          <t>Why is safety stock not the same as reorder point?</t>
        </is>
      </c>
    </row>
    <row r="9">
      <c r="A9" t="n">
        <v>8</v>
      </c>
      <c r="B9" t="inlineStr">
        <is>
          <t>How can demand variability influence safety stock?</t>
        </is>
      </c>
    </row>
    <row r="10">
      <c r="A10" t="n">
        <v>9</v>
      </c>
      <c r="B10" t="inlineStr">
        <is>
          <t>How can lead-time variability influence safety stock?</t>
        </is>
      </c>
    </row>
    <row r="11">
      <c r="A11" t="n">
        <v>10</v>
      </c>
      <c r="B11" t="inlineStr">
        <is>
          <t>Which products have the largest modeled reorder points?</t>
        </is>
      </c>
    </row>
    <row r="12">
      <c r="A12" t="n">
        <v>11</v>
      </c>
      <c r="B12" t="inlineStr">
        <is>
          <t>Which months show higher modeled safety stock?</t>
        </is>
      </c>
    </row>
    <row r="13">
      <c r="A13" t="n">
        <v>12</v>
      </c>
      <c r="B13" t="inlineStr">
        <is>
          <t>Which regions have longer modeled lead times?</t>
        </is>
      </c>
    </row>
    <row r="14">
      <c r="A14" t="n">
        <v>13</v>
      </c>
      <c r="B14" t="inlineStr">
        <is>
          <t>Which records are below the reorder point?</t>
        </is>
      </c>
    </row>
    <row r="15">
      <c r="A15" t="n">
        <v>14</v>
      </c>
      <c r="B15" t="inlineStr">
        <is>
          <t>How many days of demand does the reorder point cover?</t>
        </is>
      </c>
    </row>
    <row r="16">
      <c r="A16" t="n">
        <v>15</v>
      </c>
      <c r="B16" t="inlineStr">
        <is>
          <t>Why should inventory data be reviewed before changing a policy?</t>
        </is>
      </c>
    </row>
    <row r="17">
      <c r="A17" t="n">
        <v>16</v>
      </c>
      <c r="B17" t="inlineStr">
        <is>
          <t>What assumptions are used in this workbook?</t>
        </is>
      </c>
    </row>
    <row r="18">
      <c r="A18" t="n">
        <v>17</v>
      </c>
      <c r="B18" t="inlineStr">
        <is>
          <t>What would happen if average demand increased?</t>
        </is>
      </c>
    </row>
    <row r="19">
      <c r="A19" t="n">
        <v>18</v>
      </c>
      <c r="B19" t="inlineStr">
        <is>
          <t>What would happen if lead time increased?</t>
        </is>
      </c>
    </row>
    <row r="20">
      <c r="A20" t="n">
        <v>19</v>
      </c>
      <c r="B20" t="inlineStr">
        <is>
          <t>How would a manager use a reorder-point dashboard?</t>
        </is>
      </c>
    </row>
    <row r="21">
      <c r="A21" t="n">
        <v>20</v>
      </c>
      <c r="B21" t="inlineStr">
        <is>
          <t>What should be validated with real company data?</t>
        </is>
      </c>
    </row>
  </sheetData>
  <autoFilter ref="A1:B2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2" customWidth="1" min="3" max="3"/>
  </cols>
  <sheetData>
    <row r="1">
      <c r="A1" s="1" t="inlineStr">
        <is>
          <t>Insight_Area</t>
        </is>
      </c>
      <c r="B1" s="1" t="inlineStr">
        <is>
          <t>Observation</t>
        </is>
      </c>
      <c r="C1" s="1" t="inlineStr">
        <is>
          <t>Actionable_Question</t>
        </is>
      </c>
    </row>
    <row r="2">
      <c r="A2" t="inlineStr">
        <is>
          <t>Safety Stock</t>
        </is>
      </c>
      <c r="B2" t="inlineStr">
        <is>
          <t>Safety stock is modeled as a buffer quantity.</t>
        </is>
      </c>
      <c r="C2" t="inlineStr">
        <is>
          <t>Is the buffer consistent with actual uncertainty?</t>
        </is>
      </c>
    </row>
    <row r="3">
      <c r="A3" t="inlineStr">
        <is>
          <t>Reorder Point</t>
        </is>
      </c>
      <c r="B3" t="inlineStr">
        <is>
          <t>Reorder point combines lead-time demand and safety stock.</t>
        </is>
      </c>
      <c r="C3" t="inlineStr">
        <is>
          <t>Is the trigger aligned with replenishment policy?</t>
        </is>
      </c>
    </row>
    <row r="4">
      <c r="A4" t="inlineStr">
        <is>
          <t>Demand</t>
        </is>
      </c>
      <c r="B4" t="inlineStr">
        <is>
          <t>Higher average demand raises the modeled reorder point.</t>
        </is>
      </c>
      <c r="C4" t="inlineStr">
        <is>
          <t>Has recent demand changed materially?</t>
        </is>
      </c>
    </row>
    <row r="5">
      <c r="A5" t="inlineStr">
        <is>
          <t>Lead Time</t>
        </is>
      </c>
      <c r="B5" t="inlineStr">
        <is>
          <t>Longer lead time raises lead-time demand.</t>
        </is>
      </c>
      <c r="C5" t="inlineStr">
        <is>
          <t>Are supplier lead times stable?</t>
        </is>
      </c>
    </row>
    <row r="6">
      <c r="A6" t="inlineStr">
        <is>
          <t>Stock Status</t>
        </is>
      </c>
      <c r="B6" t="inlineStr">
        <is>
          <t>Closing inventory can be compared with the reorder point.</t>
        </is>
      </c>
      <c r="C6" t="inlineStr">
        <is>
          <t>Which items require replenishment review?</t>
        </is>
      </c>
    </row>
    <row r="7">
      <c r="A7" t="inlineStr">
        <is>
          <t>Management Use</t>
        </is>
      </c>
      <c r="B7" t="inlineStr">
        <is>
          <t>The dashboard supports review of inventory replenishment concepts.</t>
        </is>
      </c>
      <c r="C7" t="inlineStr">
        <is>
          <t>Which KPI should be reviewed regularly?</t>
        </is>
      </c>
    </row>
  </sheetData>
  <autoFilter ref="A1:C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s="1" t="inlineStr">
        <is>
          <t>Field</t>
        </is>
      </c>
      <c r="B1" s="1" t="inlineStr">
        <is>
          <t>Definition</t>
        </is>
      </c>
    </row>
    <row r="2">
      <c r="A2" t="inlineStr">
        <is>
          <t>Record_ID</t>
        </is>
      </c>
      <c r="B2" t="inlineStr">
        <is>
          <t>Unique illustrative record identifier</t>
        </is>
      </c>
    </row>
    <row r="3">
      <c r="A3" t="inlineStr">
        <is>
          <t>Month</t>
        </is>
      </c>
      <c r="B3" t="inlineStr">
        <is>
          <t>Month of observation</t>
        </is>
      </c>
    </row>
    <row r="4">
      <c r="A4" t="inlineStr">
        <is>
          <t>Product</t>
        </is>
      </c>
      <c r="B4" t="inlineStr">
        <is>
          <t>Product category</t>
        </is>
      </c>
    </row>
    <row r="5">
      <c r="A5" t="inlineStr">
        <is>
          <t>Region</t>
        </is>
      </c>
      <c r="B5" t="inlineStr">
        <is>
          <t>Operating region</t>
        </is>
      </c>
    </row>
    <row r="6">
      <c r="A6" t="inlineStr">
        <is>
          <t>Opening_Inventory</t>
        </is>
      </c>
      <c r="B6" t="inlineStr">
        <is>
          <t>Inventory at start</t>
        </is>
      </c>
    </row>
    <row r="7">
      <c r="A7" t="inlineStr">
        <is>
          <t>Receipts</t>
        </is>
      </c>
      <c r="B7" t="inlineStr">
        <is>
          <t>Units received</t>
        </is>
      </c>
    </row>
    <row r="8">
      <c r="A8" t="inlineStr">
        <is>
          <t>Sales_Units</t>
        </is>
      </c>
      <c r="B8" t="inlineStr">
        <is>
          <t>Units sold/issued</t>
        </is>
      </c>
    </row>
    <row r="9">
      <c r="A9" t="inlineStr">
        <is>
          <t>Closing_Inventory</t>
        </is>
      </c>
      <c r="B9" t="inlineStr">
        <is>
          <t>Inventory at end</t>
        </is>
      </c>
    </row>
    <row r="10">
      <c r="A10" t="inlineStr">
        <is>
          <t>Avg_Daily_Demand</t>
        </is>
      </c>
      <c r="B10" t="inlineStr">
        <is>
          <t>Average daily demand</t>
        </is>
      </c>
    </row>
    <row r="11">
      <c r="A11" t="inlineStr">
        <is>
          <t>Max_Daily_Demand</t>
        </is>
      </c>
      <c r="B11" t="inlineStr">
        <is>
          <t>Illustrative maximum daily demand</t>
        </is>
      </c>
    </row>
    <row r="12">
      <c r="A12" t="inlineStr">
        <is>
          <t>Avg_Lead_Time_Days</t>
        </is>
      </c>
      <c r="B12" t="inlineStr">
        <is>
          <t>Average supplier lead time</t>
        </is>
      </c>
    </row>
    <row r="13">
      <c r="A13" t="inlineStr">
        <is>
          <t>Max_Lead_Time_Days</t>
        </is>
      </c>
      <c r="B13" t="inlineStr">
        <is>
          <t>Illustrative maximum lead time</t>
        </is>
      </c>
    </row>
    <row r="14">
      <c r="A14" t="inlineStr">
        <is>
          <t>Safety_Stock</t>
        </is>
      </c>
      <c r="B14" t="inlineStr">
        <is>
          <t>Illustrative safety stock buffer</t>
        </is>
      </c>
    </row>
    <row r="15">
      <c r="A15" t="inlineStr">
        <is>
          <t>Reorder_Point</t>
        </is>
      </c>
      <c r="B15" t="inlineStr">
        <is>
          <t>Illustrative reorder trigger</t>
        </is>
      </c>
    </row>
    <row r="16">
      <c r="A16" t="inlineStr">
        <is>
          <t>Lead_Time_Demand</t>
        </is>
      </c>
      <c r="B16" t="inlineStr">
        <is>
          <t>Average demand multiplied by average lead time</t>
        </is>
      </c>
    </row>
    <row r="17">
      <c r="A17" t="inlineStr">
        <is>
          <t>Safety_Stock_Calc</t>
        </is>
      </c>
      <c r="B17" t="inlineStr">
        <is>
          <t>Alternative safety stock calculation for review</t>
        </is>
      </c>
    </row>
    <row r="18">
      <c r="A18" t="inlineStr">
        <is>
          <t>Safety_Stock_Gap</t>
        </is>
      </c>
      <c r="B18" t="inlineStr">
        <is>
          <t>Difference between supplied safety stock and calculated estimate</t>
        </is>
      </c>
    </row>
    <row r="19">
      <c r="A19" t="inlineStr">
        <is>
          <t>Reorder_Point_Calc</t>
        </is>
      </c>
      <c r="B19" t="inlineStr">
        <is>
          <t>Lead-time demand plus safety stock</t>
        </is>
      </c>
    </row>
    <row r="20">
      <c r="A20" t="inlineStr">
        <is>
          <t>Reorder_Coverage_Days</t>
        </is>
      </c>
      <c r="B20" t="inlineStr">
        <is>
          <t>Days of average demand represented by reorder point</t>
        </is>
      </c>
    </row>
    <row r="21">
      <c r="A21" t="inlineStr">
        <is>
          <t>Stock_Status</t>
        </is>
      </c>
      <c r="B21" t="inlineStr">
        <is>
          <t>Whether closing inventory is below the reorder point</t>
        </is>
      </c>
    </row>
  </sheetData>
  <autoFilter ref="A1:B2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s="1" t="inlineStr">
        <is>
          <t>Step</t>
        </is>
      </c>
      <c r="B1" s="1" t="inlineStr">
        <is>
          <t>Instruction</t>
        </is>
      </c>
    </row>
    <row r="2">
      <c r="A2" t="n">
        <v>1</v>
      </c>
      <c r="B2" t="inlineStr">
        <is>
          <t>Read the Concept_Review sheet.</t>
        </is>
      </c>
    </row>
    <row r="3">
      <c r="A3" t="n">
        <v>2</v>
      </c>
      <c r="B3" t="inlineStr">
        <is>
          <t>Inspect Safety_Stock_Data.</t>
        </is>
      </c>
    </row>
    <row r="4">
      <c r="A4" t="n">
        <v>3</v>
      </c>
      <c r="B4" t="inlineStr">
        <is>
          <t>Review average daily demand.</t>
        </is>
      </c>
    </row>
    <row r="5">
      <c r="A5" t="n">
        <v>4</v>
      </c>
      <c r="B5" t="inlineStr">
        <is>
          <t>Review lead time.</t>
        </is>
      </c>
    </row>
    <row r="6">
      <c r="A6" t="n">
        <v>5</v>
      </c>
      <c r="B6" t="inlineStr">
        <is>
          <t>Review safety stock.</t>
        </is>
      </c>
    </row>
    <row r="7">
      <c r="A7" t="n">
        <v>6</v>
      </c>
      <c r="B7" t="inlineStr">
        <is>
          <t>Review reorder point.</t>
        </is>
      </c>
    </row>
    <row r="8">
      <c r="A8" t="n">
        <v>7</v>
      </c>
      <c r="B8" t="inlineStr">
        <is>
          <t>Compare closing inventory with reorder point.</t>
        </is>
      </c>
    </row>
    <row r="9">
      <c r="A9" t="n">
        <v>8</v>
      </c>
      <c r="B9" t="inlineStr">
        <is>
          <t>Open Product_Summary.</t>
        </is>
      </c>
    </row>
    <row r="10">
      <c r="A10" t="n">
        <v>9</v>
      </c>
      <c r="B10" t="inlineStr">
        <is>
          <t>Open Monthly_Summary.</t>
        </is>
      </c>
    </row>
    <row r="11">
      <c r="A11" t="n">
        <v>10</v>
      </c>
      <c r="B11" t="inlineStr">
        <is>
          <t>Open Region_Summary.</t>
        </is>
      </c>
    </row>
    <row r="12">
      <c r="A12" t="n">
        <v>11</v>
      </c>
      <c r="B12" t="inlineStr">
        <is>
          <t>Review the dashboard charts.</t>
        </is>
      </c>
    </row>
    <row r="13">
      <c r="A13" t="n">
        <v>12</v>
      </c>
      <c r="B13" t="inlineStr">
        <is>
          <t>Run the Python script and compare outputs.</t>
        </is>
      </c>
    </row>
  </sheetData>
  <autoFilter ref="A1:B1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28" customWidth="1" min="1" max="1"/>
    <col width="58" customWidth="1" min="2" max="2"/>
  </cols>
  <sheetData>
    <row r="1">
      <c r="A1" s="2" t="inlineStr">
        <is>
          <t>Day 054 — Safety Stock and Reorder Concept Review</t>
        </is>
      </c>
    </row>
    <row r="2">
      <c r="A2" s="3" t="inlineStr">
        <is>
          <t>Illustrative inventory analytics dashboard</t>
        </is>
      </c>
    </row>
    <row r="37">
      <c r="A37" s="4" t="inlineStr">
        <is>
          <t>Core Formula</t>
        </is>
      </c>
      <c r="B37" t="inlineStr">
        <is>
          <t>Reorder Point = Lead-Time Demand + Safety Stock</t>
        </is>
      </c>
    </row>
    <row r="38">
      <c r="A38" s="4" t="inlineStr">
        <is>
          <t>Lead-Time Demand</t>
        </is>
      </c>
      <c r="B38" t="inlineStr">
        <is>
          <t>Average Daily Demand × Average Lead Time</t>
        </is>
      </c>
    </row>
    <row r="39">
      <c r="A39" s="4" t="inlineStr">
        <is>
          <t>Review Goal</t>
        </is>
      </c>
      <c r="B39" t="inlineStr">
        <is>
          <t>Understand when replenishment should be considered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2026-09-16T07:05:56Z</dcterms:created>
  <dcterms:modified xmlns:dcterms="http://purl.org/dc/terms/" xmlns:xsi="http://www.w3.org/2001/XMLSchema-instance" xsi:type="dcterms:W3CDTF">2026-09-16T07:05:56Z</dcterms:modified>
</cp:coreProperties>
</file>