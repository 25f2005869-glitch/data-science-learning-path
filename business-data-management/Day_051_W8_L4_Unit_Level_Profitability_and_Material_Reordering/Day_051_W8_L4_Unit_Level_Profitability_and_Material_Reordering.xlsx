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fitability_Data" sheetId="1" state="visible" r:id="rId1"/>
    <sheet xmlns:r="http://schemas.openxmlformats.org/officeDocument/2006/relationships" name="Unit_Profitability" sheetId="2" state="visible" r:id="rId2"/>
    <sheet xmlns:r="http://schemas.openxmlformats.org/officeDocument/2006/relationships" name="Material_Reorder_Analysis" sheetId="3" state="visible" r:id="rId3"/>
    <sheet xmlns:r="http://schemas.openxmlformats.org/officeDocument/2006/relationships" name="Monthly_Profitability" sheetId="4" state="visible" r:id="rId4"/>
    <sheet xmlns:r="http://schemas.openxmlformats.org/officeDocument/2006/relationships" name="Regional_Profitability" sheetId="5" state="visible" r:id="rId5"/>
    <sheet xmlns:r="http://schemas.openxmlformats.org/officeDocument/2006/relationships" name="Product_Material" sheetId="6" state="visible" r:id="rId6"/>
    <sheet xmlns:r="http://schemas.openxmlformats.org/officeDocument/2006/relationships" name="Formula_Guide" sheetId="7" state="visible" r:id="rId7"/>
    <sheet xmlns:r="http://schemas.openxmlformats.org/officeDocument/2006/relationships" name="Unit_Level_Questions" sheetId="8" state="visible" r:id="rId8"/>
    <sheet xmlns:r="http://schemas.openxmlformats.org/officeDocument/2006/relationships" name="Business_Insights" sheetId="9" state="visible" r:id="rId9"/>
    <sheet xmlns:r="http://schemas.openxmlformats.org/officeDocument/2006/relationships" name="Data_Dictionary" sheetId="10" state="visible" r:id="rId10"/>
    <sheet xmlns:r="http://schemas.openxmlformats.org/officeDocument/2006/relationships" name="Unit_Level_Working" sheetId="11" state="visible" r:id="rId11"/>
    <sheet xmlns:r="http://schemas.openxmlformats.org/officeDocument/2006/relationships" name="Instructions" sheetId="12" state="visible" r:id="rId12"/>
    <sheet xmlns:r="http://schemas.openxmlformats.org/officeDocument/2006/relationships" name="Unit_Profitability_Reorder_Dashboard" sheetId="13" state="visible" r:id="rId13"/>
  </sheets>
  <definedNames>
    <definedName name="_xlnm._FilterDatabase" localSheetId="0" hidden="1">'Profitability_Data'!$A$1:$X$55</definedName>
    <definedName name="_xlnm._FilterDatabase" localSheetId="1" hidden="1">'Unit_Profitability'!$A$1:$L$4</definedName>
    <definedName name="_xlnm._FilterDatabase" localSheetId="2" hidden="1">'Material_Reorder_Analysis'!$A$1:$H$4</definedName>
    <definedName name="_xlnm._FilterDatabase" localSheetId="3" hidden="1">'Monthly_Profitability'!$A$1:$G$7</definedName>
    <definedName name="_xlnm._FilterDatabase" localSheetId="4" hidden="1">'Regional_Profitability'!$A$1:$F$4</definedName>
    <definedName name="_xlnm._FilterDatabase" localSheetId="5" hidden="1">'Product_Material'!$A$1:$E$4</definedName>
    <definedName name="_xlnm._FilterDatabase" localSheetId="6" hidden="1">'Formula_Guide'!$A$1:$C$12</definedName>
    <definedName name="_xlnm._FilterDatabase" localSheetId="7" hidden="1">'Unit_Level_Questions'!$A$1:$C$11</definedName>
    <definedName name="_xlnm._FilterDatabase" localSheetId="8" hidden="1">'Business_Insights'!$A$1:$C$7</definedName>
    <definedName name="_xlnm._FilterDatabase" localSheetId="9" hidden="1">'Data_Dictionary'!$A$1:$C$25</definedName>
    <definedName name="_xlnm._FilterDatabase" localSheetId="10" hidden="1">'Unit_Level_Working'!$A$1:$C$9</definedName>
    <definedName name="_xlnm._FilterDatabase" localSheetId="11" hidden="1">'Instructions'!$A$1:$B$11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20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0" fontId="0" fillId="0" borderId="0" pivotButton="0" quotePrefix="0" xfId="0"/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 Profit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'Unit_Profitability'!I1</f>
            </strRef>
          </tx>
          <spPr>
            <a:solidFill xmlns:a="http://schemas.openxmlformats.org/drawingml/2006/main">
              <a:srgbClr val="4472C4"/>
            </a:solidFill>
            <a:ln xmlns:a="http://schemas.openxmlformats.org/drawingml/2006/main">
              <a:prstDash val="solid"/>
            </a:ln>
          </spPr>
          <cat>
            <numRef>
              <f>'Unit_Profitability'!$A$2:$A$4</f>
            </numRef>
          </cat>
          <val>
            <numRef>
              <f>'Unit_Profitability'!$I$2:$I$4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Gross Profit Trend</a:t>
            </a:r>
          </a:p>
        </rich>
      </tx>
    </title>
    <plotArea>
      <lineChart>
        <grouping val="standard"/>
        <ser>
          <idx val="0"/>
          <order val="0"/>
          <tx>
            <strRef>
              <f>'Monthly_Profitability'!D1</f>
            </strRef>
          </tx>
          <spPr>
            <a:ln xmlns:a="http://schemas.openxmlformats.org/drawingml/2006/main">
              <a:solidFill>
                <a:srgbClr val="ED7D31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'Monthly_Profitability'!$A$2:$A$7</f>
            </numRef>
          </cat>
          <val>
            <numRef>
              <f>'Monthly_Profitability'!$D$2:$D$7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Gross Profit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Reorder Point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'Material_Reorder_Analysis'!D1</f>
            </strRef>
          </tx>
          <spPr>
            <a:solidFill xmlns:a="http://schemas.openxmlformats.org/drawingml/2006/main">
              <a:srgbClr val="70AD47"/>
            </a:solidFill>
            <a:ln xmlns:a="http://schemas.openxmlformats.org/drawingml/2006/main">
              <a:prstDash val="solid"/>
            </a:ln>
          </spPr>
          <cat>
            <numRef>
              <f>'Material_Reorder_Analysis'!$A$2:$A$4</f>
            </numRef>
          </cat>
          <val>
            <numRef>
              <f>'Material_Reorder_Analysis'!$D$2:$D$4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 Margin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'Unit_Profitability'!J1</f>
            </strRef>
          </tx>
          <spPr>
            <a:solidFill xmlns:a="http://schemas.openxmlformats.org/drawingml/2006/main">
              <a:srgbClr val="8064A2"/>
            </a:solidFill>
            <a:ln xmlns:a="http://schemas.openxmlformats.org/drawingml/2006/main">
              <a:prstDash val="solid"/>
            </a:ln>
          </spPr>
          <cat>
            <numRef>
              <f>'Unit_Profitability'!$A$2:$A$4</f>
            </numRef>
          </cat>
          <val>
            <numRef>
              <f>'Unit_Profitability'!$J$2:$J$4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0</col>
      <colOff>0</colOff>
      <row>6</row>
      <rowOff>0</rowOff>
    </from>
    <ext cx="396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6</row>
      <rowOff>0</rowOff>
    </from>
    <ext cx="396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0</col>
      <colOff>0</colOff>
      <row>21</row>
      <rowOff>0</rowOff>
    </from>
    <ext cx="396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21</row>
      <rowOff>0</rowOff>
    </from>
    <ext cx="3960000" cy="252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8" customWidth="1" min="6" max="6"/>
    <col width="24" customWidth="1" min="7" max="7"/>
    <col width="12" customWidth="1" min="8" max="8"/>
    <col width="24" customWidth="1" min="9" max="9"/>
    <col width="15" customWidth="1" min="10" max="10"/>
    <col width="22" customWidth="1" min="11" max="11"/>
    <col width="13" customWidth="1" min="12" max="12"/>
    <col width="19" customWidth="1" min="13" max="13"/>
    <col width="15" customWidth="1" min="14" max="14"/>
    <col width="12" customWidth="1" min="15" max="15"/>
    <col width="14" customWidth="1" min="16" max="16"/>
    <col width="21" customWidth="1" min="17" max="17"/>
    <col width="19" customWidth="1" min="18" max="18"/>
    <col width="25" customWidth="1" min="19" max="19"/>
    <col width="26" customWidth="1" min="20" max="20"/>
    <col width="16" customWidth="1" min="21" max="21"/>
    <col width="14" customWidth="1" min="22" max="22"/>
    <col width="15" customWidth="1" min="23" max="23"/>
    <col width="24" customWidth="1" min="24" max="24"/>
  </cols>
  <sheetData>
    <row r="1">
      <c r="A1" s="1" t="inlineStr">
        <is>
          <t>Record_ID</t>
        </is>
      </c>
      <c r="B1" s="1" t="inlineStr">
        <is>
          <t>Month</t>
        </is>
      </c>
      <c r="C1" s="1" t="inlineStr">
        <is>
          <t>Product</t>
        </is>
      </c>
      <c r="D1" s="1" t="inlineStr">
        <is>
          <t>Region</t>
        </is>
      </c>
      <c r="E1" s="1" t="inlineStr">
        <is>
          <t>Sales_Units</t>
        </is>
      </c>
      <c r="F1" s="1" t="inlineStr">
        <is>
          <t>Production_Units</t>
        </is>
      </c>
      <c r="G1" s="1" t="inlineStr">
        <is>
          <t>Selling_Price_per_Unit</t>
        </is>
      </c>
      <c r="H1" s="1" t="inlineStr">
        <is>
          <t>Revenue</t>
        </is>
      </c>
      <c r="I1" s="1" t="inlineStr">
        <is>
          <t>Material_Cost_per_Unit</t>
        </is>
      </c>
      <c r="J1" s="1" t="inlineStr">
        <is>
          <t>Material_Cost</t>
        </is>
      </c>
      <c r="K1" s="1" t="inlineStr">
        <is>
          <t>Labour_Cost_per_Unit</t>
        </is>
      </c>
      <c r="L1" s="1" t="inlineStr">
        <is>
          <t>Labour_Cost</t>
        </is>
      </c>
      <c r="M1" s="1" t="inlineStr">
        <is>
          <t>Overhead_per_Unit</t>
        </is>
      </c>
      <c r="N1" s="1" t="inlineStr">
        <is>
          <t>Overhead_Cost</t>
        </is>
      </c>
      <c r="O1" s="1" t="inlineStr">
        <is>
          <t>Total_Cost</t>
        </is>
      </c>
      <c r="P1" s="1" t="inlineStr">
        <is>
          <t>Gross_Profit</t>
        </is>
      </c>
      <c r="Q1" s="1" t="inlineStr">
        <is>
          <t>Unit_Margin</t>
        </is>
      </c>
      <c r="R1" s="1" t="inlineStr">
        <is>
          <t>Material_per_Unit</t>
        </is>
      </c>
      <c r="S1" s="1" t="inlineStr">
        <is>
          <t>Monthly_Material_Demand</t>
        </is>
      </c>
      <c r="T1" s="1" t="inlineStr">
        <is>
          <t>Avg_Daily_Material_Usage</t>
        </is>
      </c>
      <c r="U1" s="1" t="inlineStr">
        <is>
          <t>Lead_Time_Days</t>
        </is>
      </c>
      <c r="V1" s="1" t="inlineStr">
        <is>
          <t>Safety_Stock</t>
        </is>
      </c>
      <c r="W1" s="1" t="inlineStr">
        <is>
          <t>Reorder_Point</t>
        </is>
      </c>
      <c r="X1" s="1" t="inlineStr">
        <is>
          <t>Closing_Material_Stock</t>
        </is>
      </c>
    </row>
    <row r="2">
      <c r="A2" t="inlineStr">
        <is>
          <t>UPR001</t>
        </is>
      </c>
      <c r="B2" t="inlineStr">
        <is>
          <t>2023-01</t>
        </is>
      </c>
      <c r="C2" t="inlineStr">
        <is>
          <t>Gears</t>
        </is>
      </c>
      <c r="D2" t="inlineStr">
        <is>
          <t>North</t>
        </is>
      </c>
      <c r="E2" t="n">
        <v>1080</v>
      </c>
      <c r="F2" t="n">
        <v>1123</v>
      </c>
      <c r="G2" t="n">
        <v>500</v>
      </c>
      <c r="H2" t="n">
        <v>540000</v>
      </c>
      <c r="I2" t="n">
        <v>260</v>
      </c>
      <c r="J2" t="n">
        <v>280800</v>
      </c>
      <c r="K2" t="n">
        <v>70</v>
      </c>
      <c r="L2" t="n">
        <v>75600</v>
      </c>
      <c r="M2" t="n">
        <v>45</v>
      </c>
      <c r="N2" t="n">
        <v>48600</v>
      </c>
      <c r="O2" t="n">
        <v>405000</v>
      </c>
      <c r="P2" t="n">
        <v>135000</v>
      </c>
      <c r="Q2" s="2" t="n">
        <v>0.25</v>
      </c>
      <c r="R2" t="n">
        <v>1.8</v>
      </c>
      <c r="S2" t="n">
        <v>1944</v>
      </c>
      <c r="T2" t="n">
        <v>64.8</v>
      </c>
      <c r="U2" t="n">
        <v>7</v>
      </c>
      <c r="V2" t="n">
        <v>220</v>
      </c>
      <c r="W2" t="n">
        <v>815</v>
      </c>
      <c r="X2" t="n">
        <v>857</v>
      </c>
    </row>
    <row r="3">
      <c r="A3" t="inlineStr">
        <is>
          <t>UPR002</t>
        </is>
      </c>
      <c r="B3" t="inlineStr">
        <is>
          <t>2023-01</t>
        </is>
      </c>
      <c r="C3" t="inlineStr">
        <is>
          <t>Gears</t>
        </is>
      </c>
      <c r="D3" t="inlineStr">
        <is>
          <t>South</t>
        </is>
      </c>
      <c r="E3" t="n">
        <v>980</v>
      </c>
      <c r="F3" t="n">
        <v>1019</v>
      </c>
      <c r="G3" t="n">
        <v>500</v>
      </c>
      <c r="H3" t="n">
        <v>490000</v>
      </c>
      <c r="I3" t="n">
        <v>260</v>
      </c>
      <c r="J3" t="n">
        <v>254800</v>
      </c>
      <c r="K3" t="n">
        <v>70</v>
      </c>
      <c r="L3" t="n">
        <v>68600</v>
      </c>
      <c r="M3" t="n">
        <v>45</v>
      </c>
      <c r="N3" t="n">
        <v>44100</v>
      </c>
      <c r="O3" t="n">
        <v>367500</v>
      </c>
      <c r="P3" t="n">
        <v>122500</v>
      </c>
      <c r="Q3" s="2" t="n">
        <v>0.25</v>
      </c>
      <c r="R3" t="n">
        <v>1.8</v>
      </c>
      <c r="S3" t="n">
        <v>1764</v>
      </c>
      <c r="T3" t="n">
        <v>58.8</v>
      </c>
      <c r="U3" t="n">
        <v>7</v>
      </c>
      <c r="V3" t="n">
        <v>220</v>
      </c>
      <c r="W3" t="n">
        <v>815</v>
      </c>
      <c r="X3" t="n">
        <v>862</v>
      </c>
    </row>
    <row r="4">
      <c r="A4" t="inlineStr">
        <is>
          <t>UPR003</t>
        </is>
      </c>
      <c r="B4" t="inlineStr">
        <is>
          <t>2023-01</t>
        </is>
      </c>
      <c r="C4" t="inlineStr">
        <is>
          <t>Gears</t>
        </is>
      </c>
      <c r="D4" t="inlineStr">
        <is>
          <t>West</t>
        </is>
      </c>
      <c r="E4" t="n">
        <v>940</v>
      </c>
      <c r="F4" t="n">
        <v>978</v>
      </c>
      <c r="G4" t="n">
        <v>500</v>
      </c>
      <c r="H4" t="n">
        <v>470000</v>
      </c>
      <c r="I4" t="n">
        <v>260</v>
      </c>
      <c r="J4" t="n">
        <v>244400</v>
      </c>
      <c r="K4" t="n">
        <v>70</v>
      </c>
      <c r="L4" t="n">
        <v>65800</v>
      </c>
      <c r="M4" t="n">
        <v>45</v>
      </c>
      <c r="N4" t="n">
        <v>42300</v>
      </c>
      <c r="O4" t="n">
        <v>352500</v>
      </c>
      <c r="P4" t="n">
        <v>117500</v>
      </c>
      <c r="Q4" s="2" t="n">
        <v>0.25</v>
      </c>
      <c r="R4" t="n">
        <v>1.8</v>
      </c>
      <c r="S4" t="n">
        <v>1692</v>
      </c>
      <c r="T4" t="n">
        <v>56.4</v>
      </c>
      <c r="U4" t="n">
        <v>7</v>
      </c>
      <c r="V4" t="n">
        <v>220</v>
      </c>
      <c r="W4" t="n">
        <v>815</v>
      </c>
      <c r="X4" t="n">
        <v>864</v>
      </c>
    </row>
    <row r="5">
      <c r="A5" t="inlineStr">
        <is>
          <t>UPR004</t>
        </is>
      </c>
      <c r="B5" t="inlineStr">
        <is>
          <t>2023-01</t>
        </is>
      </c>
      <c r="C5" t="inlineStr">
        <is>
          <t>Shafts</t>
        </is>
      </c>
      <c r="D5" t="inlineStr">
        <is>
          <t>North</t>
        </is>
      </c>
      <c r="E5" t="n">
        <v>972</v>
      </c>
      <c r="F5" t="n">
        <v>1011</v>
      </c>
      <c r="G5" t="n">
        <v>420</v>
      </c>
      <c r="H5" t="n">
        <v>408240</v>
      </c>
      <c r="I5" t="n">
        <v>225</v>
      </c>
      <c r="J5" t="n">
        <v>218700</v>
      </c>
      <c r="K5" t="n">
        <v>62</v>
      </c>
      <c r="L5" t="n">
        <v>60264</v>
      </c>
      <c r="M5" t="n">
        <v>40</v>
      </c>
      <c r="N5" t="n">
        <v>38880</v>
      </c>
      <c r="O5" t="n">
        <v>317844</v>
      </c>
      <c r="P5" t="n">
        <v>90396</v>
      </c>
      <c r="Q5" s="2" t="n">
        <v>0.2214285714285714</v>
      </c>
      <c r="R5" t="n">
        <v>1.5</v>
      </c>
      <c r="S5" t="n">
        <v>1458</v>
      </c>
      <c r="T5" t="n">
        <v>48.6</v>
      </c>
      <c r="U5" t="n">
        <v>6</v>
      </c>
      <c r="V5" t="n">
        <v>180</v>
      </c>
      <c r="W5" t="n">
        <v>612</v>
      </c>
      <c r="X5" t="n">
        <v>668</v>
      </c>
    </row>
    <row r="6">
      <c r="A6" t="inlineStr">
        <is>
          <t>UPR005</t>
        </is>
      </c>
      <c r="B6" t="inlineStr">
        <is>
          <t>2023-01</t>
        </is>
      </c>
      <c r="C6" t="inlineStr">
        <is>
          <t>Shafts</t>
        </is>
      </c>
      <c r="D6" t="inlineStr">
        <is>
          <t>South</t>
        </is>
      </c>
      <c r="E6" t="n">
        <v>882</v>
      </c>
      <c r="F6" t="n">
        <v>917</v>
      </c>
      <c r="G6" t="n">
        <v>420</v>
      </c>
      <c r="H6" t="n">
        <v>370440</v>
      </c>
      <c r="I6" t="n">
        <v>225</v>
      </c>
      <c r="J6" t="n">
        <v>198450</v>
      </c>
      <c r="K6" t="n">
        <v>62</v>
      </c>
      <c r="L6" t="n">
        <v>54684</v>
      </c>
      <c r="M6" t="n">
        <v>40</v>
      </c>
      <c r="N6" t="n">
        <v>35280</v>
      </c>
      <c r="O6" t="n">
        <v>288414</v>
      </c>
      <c r="P6" t="n">
        <v>82026</v>
      </c>
      <c r="Q6" s="2" t="n">
        <v>0.2214285714285714</v>
      </c>
      <c r="R6" t="n">
        <v>1.5</v>
      </c>
      <c r="S6" t="n">
        <v>1323</v>
      </c>
      <c r="T6" t="n">
        <v>44.1</v>
      </c>
      <c r="U6" t="n">
        <v>6</v>
      </c>
      <c r="V6" t="n">
        <v>180</v>
      </c>
      <c r="W6" t="n">
        <v>612</v>
      </c>
      <c r="X6" t="n">
        <v>672</v>
      </c>
    </row>
    <row r="7">
      <c r="A7" t="inlineStr">
        <is>
          <t>UPR006</t>
        </is>
      </c>
      <c r="B7" t="inlineStr">
        <is>
          <t>2023-01</t>
        </is>
      </c>
      <c r="C7" t="inlineStr">
        <is>
          <t>Shafts</t>
        </is>
      </c>
      <c r="D7" t="inlineStr">
        <is>
          <t>West</t>
        </is>
      </c>
      <c r="E7" t="n">
        <v>846</v>
      </c>
      <c r="F7" t="n">
        <v>880</v>
      </c>
      <c r="G7" t="n">
        <v>420</v>
      </c>
      <c r="H7" t="n">
        <v>355320</v>
      </c>
      <c r="I7" t="n">
        <v>225</v>
      </c>
      <c r="J7" t="n">
        <v>190350</v>
      </c>
      <c r="K7" t="n">
        <v>62</v>
      </c>
      <c r="L7" t="n">
        <v>52452</v>
      </c>
      <c r="M7" t="n">
        <v>40</v>
      </c>
      <c r="N7" t="n">
        <v>33840</v>
      </c>
      <c r="O7" t="n">
        <v>276642</v>
      </c>
      <c r="P7" t="n">
        <v>78678</v>
      </c>
      <c r="Q7" s="2" t="n">
        <v>0.2214285714285714</v>
      </c>
      <c r="R7" t="n">
        <v>1.5</v>
      </c>
      <c r="S7" t="n">
        <v>1269</v>
      </c>
      <c r="T7" t="n">
        <v>42.3</v>
      </c>
      <c r="U7" t="n">
        <v>6</v>
      </c>
      <c r="V7" t="n">
        <v>180</v>
      </c>
      <c r="W7" t="n">
        <v>612</v>
      </c>
      <c r="X7" t="n">
        <v>674</v>
      </c>
    </row>
    <row r="8">
      <c r="A8" t="inlineStr">
        <is>
          <t>UPR007</t>
        </is>
      </c>
      <c r="B8" t="inlineStr">
        <is>
          <t>2023-01</t>
        </is>
      </c>
      <c r="C8" t="inlineStr">
        <is>
          <t>Bearings</t>
        </is>
      </c>
      <c r="D8" t="inlineStr">
        <is>
          <t>North</t>
        </is>
      </c>
      <c r="E8" t="n">
        <v>918</v>
      </c>
      <c r="F8" t="n">
        <v>955</v>
      </c>
      <c r="G8" t="n">
        <v>380</v>
      </c>
      <c r="H8" t="n">
        <v>348840</v>
      </c>
      <c r="I8" t="n">
        <v>205</v>
      </c>
      <c r="J8" t="n">
        <v>188190</v>
      </c>
      <c r="K8" t="n">
        <v>58</v>
      </c>
      <c r="L8" t="n">
        <v>53244</v>
      </c>
      <c r="M8" t="n">
        <v>38</v>
      </c>
      <c r="N8" t="n">
        <v>34884</v>
      </c>
      <c r="O8" t="n">
        <v>276318</v>
      </c>
      <c r="P8" t="n">
        <v>72522</v>
      </c>
      <c r="Q8" s="2" t="n">
        <v>0.2078947368421053</v>
      </c>
      <c r="R8" t="n">
        <v>1.3</v>
      </c>
      <c r="S8" t="n">
        <v>1193.4</v>
      </c>
      <c r="T8" t="n">
        <v>39.78</v>
      </c>
      <c r="U8" t="n">
        <v>5</v>
      </c>
      <c r="V8" t="n">
        <v>160</v>
      </c>
      <c r="W8" t="n">
        <v>485</v>
      </c>
      <c r="X8" t="n">
        <v>549</v>
      </c>
    </row>
    <row r="9">
      <c r="A9" t="inlineStr">
        <is>
          <t>UPR008</t>
        </is>
      </c>
      <c r="B9" t="inlineStr">
        <is>
          <t>2023-01</t>
        </is>
      </c>
      <c r="C9" t="inlineStr">
        <is>
          <t>Bearings</t>
        </is>
      </c>
      <c r="D9" t="inlineStr">
        <is>
          <t>South</t>
        </is>
      </c>
      <c r="E9" t="n">
        <v>833</v>
      </c>
      <c r="F9" t="n">
        <v>866</v>
      </c>
      <c r="G9" t="n">
        <v>380</v>
      </c>
      <c r="H9" t="n">
        <v>316540</v>
      </c>
      <c r="I9" t="n">
        <v>205</v>
      </c>
      <c r="J9" t="n">
        <v>170765</v>
      </c>
      <c r="K9" t="n">
        <v>58</v>
      </c>
      <c r="L9" t="n">
        <v>48314</v>
      </c>
      <c r="M9" t="n">
        <v>38</v>
      </c>
      <c r="N9" t="n">
        <v>31654</v>
      </c>
      <c r="O9" t="n">
        <v>250733</v>
      </c>
      <c r="P9" t="n">
        <v>65807</v>
      </c>
      <c r="Q9" s="2" t="n">
        <v>0.2078947368421053</v>
      </c>
      <c r="R9" t="n">
        <v>1.3</v>
      </c>
      <c r="S9" t="n">
        <v>1082.9</v>
      </c>
      <c r="T9" t="n">
        <v>36.09666666666667</v>
      </c>
      <c r="U9" t="n">
        <v>5</v>
      </c>
      <c r="V9" t="n">
        <v>160</v>
      </c>
      <c r="W9" t="n">
        <v>485</v>
      </c>
      <c r="X9" t="n">
        <v>553</v>
      </c>
    </row>
    <row r="10">
      <c r="A10" t="inlineStr">
        <is>
          <t>UPR009</t>
        </is>
      </c>
      <c r="B10" t="inlineStr">
        <is>
          <t>2023-01</t>
        </is>
      </c>
      <c r="C10" t="inlineStr">
        <is>
          <t>Bearings</t>
        </is>
      </c>
      <c r="D10" t="inlineStr">
        <is>
          <t>West</t>
        </is>
      </c>
      <c r="E10" t="n">
        <v>799</v>
      </c>
      <c r="F10" t="n">
        <v>831</v>
      </c>
      <c r="G10" t="n">
        <v>380</v>
      </c>
      <c r="H10" t="n">
        <v>303620</v>
      </c>
      <c r="I10" t="n">
        <v>205</v>
      </c>
      <c r="J10" t="n">
        <v>163795</v>
      </c>
      <c r="K10" t="n">
        <v>58</v>
      </c>
      <c r="L10" t="n">
        <v>46342</v>
      </c>
      <c r="M10" t="n">
        <v>38</v>
      </c>
      <c r="N10" t="n">
        <v>30362</v>
      </c>
      <c r="O10" t="n">
        <v>240499</v>
      </c>
      <c r="P10" t="n">
        <v>63121</v>
      </c>
      <c r="Q10" s="2" t="n">
        <v>0.2078947368421053</v>
      </c>
      <c r="R10" t="n">
        <v>1.3</v>
      </c>
      <c r="S10" t="n">
        <v>1038.7</v>
      </c>
      <c r="T10" t="n">
        <v>34.62333333333333</v>
      </c>
      <c r="U10" t="n">
        <v>5</v>
      </c>
      <c r="V10" t="n">
        <v>160</v>
      </c>
      <c r="W10" t="n">
        <v>485</v>
      </c>
      <c r="X10" t="n">
        <v>554</v>
      </c>
    </row>
    <row r="11">
      <c r="A11" t="inlineStr">
        <is>
          <t>UPR010</t>
        </is>
      </c>
      <c r="B11" t="inlineStr">
        <is>
          <t>2023-02</t>
        </is>
      </c>
      <c r="C11" t="inlineStr">
        <is>
          <t>Gears</t>
        </is>
      </c>
      <c r="D11" t="inlineStr">
        <is>
          <t>North</t>
        </is>
      </c>
      <c r="E11" t="n">
        <v>1107</v>
      </c>
      <c r="F11" t="n">
        <v>1151</v>
      </c>
      <c r="G11" t="n">
        <v>500</v>
      </c>
      <c r="H11" t="n">
        <v>553500</v>
      </c>
      <c r="I11" t="n">
        <v>260</v>
      </c>
      <c r="J11" t="n">
        <v>287820</v>
      </c>
      <c r="K11" t="n">
        <v>70</v>
      </c>
      <c r="L11" t="n">
        <v>77490</v>
      </c>
      <c r="M11" t="n">
        <v>45</v>
      </c>
      <c r="N11" t="n">
        <v>49815</v>
      </c>
      <c r="O11" t="n">
        <v>415125</v>
      </c>
      <c r="P11" t="n">
        <v>138375</v>
      </c>
      <c r="Q11" s="2" t="n">
        <v>0.25</v>
      </c>
      <c r="R11" t="n">
        <v>1.8</v>
      </c>
      <c r="S11" t="n">
        <v>1992.6</v>
      </c>
      <c r="T11" t="n">
        <v>66.42</v>
      </c>
      <c r="U11" t="n">
        <v>7</v>
      </c>
      <c r="V11" t="n">
        <v>220</v>
      </c>
      <c r="W11" t="n">
        <v>815</v>
      </c>
      <c r="X11" t="n">
        <v>855</v>
      </c>
    </row>
    <row r="12">
      <c r="A12" t="inlineStr">
        <is>
          <t>UPR011</t>
        </is>
      </c>
      <c r="B12" t="inlineStr">
        <is>
          <t>2023-02</t>
        </is>
      </c>
      <c r="C12" t="inlineStr">
        <is>
          <t>Gears</t>
        </is>
      </c>
      <c r="D12" t="inlineStr">
        <is>
          <t>South</t>
        </is>
      </c>
      <c r="E12" t="n">
        <v>1004</v>
      </c>
      <c r="F12" t="n">
        <v>1044</v>
      </c>
      <c r="G12" t="n">
        <v>500</v>
      </c>
      <c r="H12" t="n">
        <v>502000</v>
      </c>
      <c r="I12" t="n">
        <v>260</v>
      </c>
      <c r="J12" t="n">
        <v>261040</v>
      </c>
      <c r="K12" t="n">
        <v>70</v>
      </c>
      <c r="L12" t="n">
        <v>70280</v>
      </c>
      <c r="M12" t="n">
        <v>45</v>
      </c>
      <c r="N12" t="n">
        <v>45180</v>
      </c>
      <c r="O12" t="n">
        <v>376500</v>
      </c>
      <c r="P12" t="n">
        <v>125500</v>
      </c>
      <c r="Q12" s="2" t="n">
        <v>0.25</v>
      </c>
      <c r="R12" t="n">
        <v>1.8</v>
      </c>
      <c r="S12" t="n">
        <v>1807.2</v>
      </c>
      <c r="T12" t="n">
        <v>60.24</v>
      </c>
      <c r="U12" t="n">
        <v>7</v>
      </c>
      <c r="V12" t="n">
        <v>220</v>
      </c>
      <c r="W12" t="n">
        <v>815</v>
      </c>
      <c r="X12" t="n">
        <v>861</v>
      </c>
    </row>
    <row r="13">
      <c r="A13" t="inlineStr">
        <is>
          <t>UPR012</t>
        </is>
      </c>
      <c r="B13" t="inlineStr">
        <is>
          <t>2023-02</t>
        </is>
      </c>
      <c r="C13" t="inlineStr">
        <is>
          <t>Gears</t>
        </is>
      </c>
      <c r="D13" t="inlineStr">
        <is>
          <t>West</t>
        </is>
      </c>
      <c r="E13" t="n">
        <v>963</v>
      </c>
      <c r="F13" t="n">
        <v>1002</v>
      </c>
      <c r="G13" t="n">
        <v>500</v>
      </c>
      <c r="H13" t="n">
        <v>481500</v>
      </c>
      <c r="I13" t="n">
        <v>260</v>
      </c>
      <c r="J13" t="n">
        <v>250380</v>
      </c>
      <c r="K13" t="n">
        <v>70</v>
      </c>
      <c r="L13" t="n">
        <v>67410</v>
      </c>
      <c r="M13" t="n">
        <v>45</v>
      </c>
      <c r="N13" t="n">
        <v>43335</v>
      </c>
      <c r="O13" t="n">
        <v>361125</v>
      </c>
      <c r="P13" t="n">
        <v>120375</v>
      </c>
      <c r="Q13" s="2" t="n">
        <v>0.25</v>
      </c>
      <c r="R13" t="n">
        <v>1.8</v>
      </c>
      <c r="S13" t="n">
        <v>1733.4</v>
      </c>
      <c r="T13" t="n">
        <v>57.78</v>
      </c>
      <c r="U13" t="n">
        <v>7</v>
      </c>
      <c r="V13" t="n">
        <v>220</v>
      </c>
      <c r="W13" t="n">
        <v>815</v>
      </c>
      <c r="X13" t="n">
        <v>863</v>
      </c>
    </row>
    <row r="14">
      <c r="A14" t="inlineStr">
        <is>
          <t>UPR013</t>
        </is>
      </c>
      <c r="B14" t="inlineStr">
        <is>
          <t>2023-02</t>
        </is>
      </c>
      <c r="C14" t="inlineStr">
        <is>
          <t>Shafts</t>
        </is>
      </c>
      <c r="D14" t="inlineStr">
        <is>
          <t>North</t>
        </is>
      </c>
      <c r="E14" t="n">
        <v>996</v>
      </c>
      <c r="F14" t="n">
        <v>1036</v>
      </c>
      <c r="G14" t="n">
        <v>420</v>
      </c>
      <c r="H14" t="n">
        <v>418320</v>
      </c>
      <c r="I14" t="n">
        <v>225</v>
      </c>
      <c r="J14" t="n">
        <v>224100</v>
      </c>
      <c r="K14" t="n">
        <v>62</v>
      </c>
      <c r="L14" t="n">
        <v>61752</v>
      </c>
      <c r="M14" t="n">
        <v>40</v>
      </c>
      <c r="N14" t="n">
        <v>39840</v>
      </c>
      <c r="O14" t="n">
        <v>325692</v>
      </c>
      <c r="P14" t="n">
        <v>92628</v>
      </c>
      <c r="Q14" s="2" t="n">
        <v>0.2214285714285714</v>
      </c>
      <c r="R14" t="n">
        <v>1.5</v>
      </c>
      <c r="S14" t="n">
        <v>1494</v>
      </c>
      <c r="T14" t="n">
        <v>49.8</v>
      </c>
      <c r="U14" t="n">
        <v>6</v>
      </c>
      <c r="V14" t="n">
        <v>180</v>
      </c>
      <c r="W14" t="n">
        <v>612</v>
      </c>
      <c r="X14" t="n">
        <v>667</v>
      </c>
    </row>
    <row r="15">
      <c r="A15" t="inlineStr">
        <is>
          <t>UPR014</t>
        </is>
      </c>
      <c r="B15" t="inlineStr">
        <is>
          <t>2023-02</t>
        </is>
      </c>
      <c r="C15" t="inlineStr">
        <is>
          <t>Shafts</t>
        </is>
      </c>
      <c r="D15" t="inlineStr">
        <is>
          <t>South</t>
        </is>
      </c>
      <c r="E15" t="n">
        <v>904</v>
      </c>
      <c r="F15" t="n">
        <v>940</v>
      </c>
      <c r="G15" t="n">
        <v>420</v>
      </c>
      <c r="H15" t="n">
        <v>379680</v>
      </c>
      <c r="I15" t="n">
        <v>225</v>
      </c>
      <c r="J15" t="n">
        <v>203400</v>
      </c>
      <c r="K15" t="n">
        <v>62</v>
      </c>
      <c r="L15" t="n">
        <v>56048</v>
      </c>
      <c r="M15" t="n">
        <v>40</v>
      </c>
      <c r="N15" t="n">
        <v>36160</v>
      </c>
      <c r="O15" t="n">
        <v>295608</v>
      </c>
      <c r="P15" t="n">
        <v>84072</v>
      </c>
      <c r="Q15" s="2" t="n">
        <v>0.2214285714285714</v>
      </c>
      <c r="R15" t="n">
        <v>1.5</v>
      </c>
      <c r="S15" t="n">
        <v>1356</v>
      </c>
      <c r="T15" t="n">
        <v>45.2</v>
      </c>
      <c r="U15" t="n">
        <v>6</v>
      </c>
      <c r="V15" t="n">
        <v>180</v>
      </c>
      <c r="W15" t="n">
        <v>612</v>
      </c>
      <c r="X15" t="n">
        <v>671</v>
      </c>
    </row>
    <row r="16">
      <c r="A16" t="inlineStr">
        <is>
          <t>UPR015</t>
        </is>
      </c>
      <c r="B16" t="inlineStr">
        <is>
          <t>2023-02</t>
        </is>
      </c>
      <c r="C16" t="inlineStr">
        <is>
          <t>Shafts</t>
        </is>
      </c>
      <c r="D16" t="inlineStr">
        <is>
          <t>West</t>
        </is>
      </c>
      <c r="E16" t="n">
        <v>867</v>
      </c>
      <c r="F16" t="n">
        <v>902</v>
      </c>
      <c r="G16" t="n">
        <v>420</v>
      </c>
      <c r="H16" t="n">
        <v>364140</v>
      </c>
      <c r="I16" t="n">
        <v>225</v>
      </c>
      <c r="J16" t="n">
        <v>195075</v>
      </c>
      <c r="K16" t="n">
        <v>62</v>
      </c>
      <c r="L16" t="n">
        <v>53754</v>
      </c>
      <c r="M16" t="n">
        <v>40</v>
      </c>
      <c r="N16" t="n">
        <v>34680</v>
      </c>
      <c r="O16" t="n">
        <v>283509</v>
      </c>
      <c r="P16" t="n">
        <v>80631</v>
      </c>
      <c r="Q16" s="2" t="n">
        <v>0.2214285714285714</v>
      </c>
      <c r="R16" t="n">
        <v>1.5</v>
      </c>
      <c r="S16" t="n">
        <v>1300.5</v>
      </c>
      <c r="T16" t="n">
        <v>43.35</v>
      </c>
      <c r="U16" t="n">
        <v>6</v>
      </c>
      <c r="V16" t="n">
        <v>180</v>
      </c>
      <c r="W16" t="n">
        <v>612</v>
      </c>
      <c r="X16" t="n">
        <v>673</v>
      </c>
    </row>
    <row r="17">
      <c r="A17" t="inlineStr">
        <is>
          <t>UPR016</t>
        </is>
      </c>
      <c r="B17" t="inlineStr">
        <is>
          <t>2023-02</t>
        </is>
      </c>
      <c r="C17" t="inlineStr">
        <is>
          <t>Bearings</t>
        </is>
      </c>
      <c r="D17" t="inlineStr">
        <is>
          <t>North</t>
        </is>
      </c>
      <c r="E17" t="n">
        <v>941</v>
      </c>
      <c r="F17" t="n">
        <v>979</v>
      </c>
      <c r="G17" t="n">
        <v>380</v>
      </c>
      <c r="H17" t="n">
        <v>357580</v>
      </c>
      <c r="I17" t="n">
        <v>205</v>
      </c>
      <c r="J17" t="n">
        <v>192905</v>
      </c>
      <c r="K17" t="n">
        <v>58</v>
      </c>
      <c r="L17" t="n">
        <v>54578</v>
      </c>
      <c r="M17" t="n">
        <v>38</v>
      </c>
      <c r="N17" t="n">
        <v>35758</v>
      </c>
      <c r="O17" t="n">
        <v>283241</v>
      </c>
      <c r="P17" t="n">
        <v>74339</v>
      </c>
      <c r="Q17" s="2" t="n">
        <v>0.2078947368421053</v>
      </c>
      <c r="R17" t="n">
        <v>1.3</v>
      </c>
      <c r="S17" t="n">
        <v>1223.3</v>
      </c>
      <c r="T17" t="n">
        <v>40.77666666666666</v>
      </c>
      <c r="U17" t="n">
        <v>5</v>
      </c>
      <c r="V17" t="n">
        <v>160</v>
      </c>
      <c r="W17" t="n">
        <v>485</v>
      </c>
      <c r="X17" t="n">
        <v>548</v>
      </c>
    </row>
    <row r="18">
      <c r="A18" t="inlineStr">
        <is>
          <t>UPR017</t>
        </is>
      </c>
      <c r="B18" t="inlineStr">
        <is>
          <t>2023-02</t>
        </is>
      </c>
      <c r="C18" t="inlineStr">
        <is>
          <t>Bearings</t>
        </is>
      </c>
      <c r="D18" t="inlineStr">
        <is>
          <t>South</t>
        </is>
      </c>
      <c r="E18" t="n">
        <v>854</v>
      </c>
      <c r="F18" t="n">
        <v>888</v>
      </c>
      <c r="G18" t="n">
        <v>380</v>
      </c>
      <c r="H18" t="n">
        <v>324520</v>
      </c>
      <c r="I18" t="n">
        <v>205</v>
      </c>
      <c r="J18" t="n">
        <v>175070</v>
      </c>
      <c r="K18" t="n">
        <v>58</v>
      </c>
      <c r="L18" t="n">
        <v>49532</v>
      </c>
      <c r="M18" t="n">
        <v>38</v>
      </c>
      <c r="N18" t="n">
        <v>32452</v>
      </c>
      <c r="O18" t="n">
        <v>257054</v>
      </c>
      <c r="P18" t="n">
        <v>67466</v>
      </c>
      <c r="Q18" s="2" t="n">
        <v>0.2078947368421053</v>
      </c>
      <c r="R18" t="n">
        <v>1.3</v>
      </c>
      <c r="S18" t="n">
        <v>1110.2</v>
      </c>
      <c r="T18" t="n">
        <v>37.00666666666667</v>
      </c>
      <c r="U18" t="n">
        <v>5</v>
      </c>
      <c r="V18" t="n">
        <v>160</v>
      </c>
      <c r="W18" t="n">
        <v>485</v>
      </c>
      <c r="X18" t="n">
        <v>552</v>
      </c>
    </row>
    <row r="19">
      <c r="A19" t="inlineStr">
        <is>
          <t>UPR018</t>
        </is>
      </c>
      <c r="B19" t="inlineStr">
        <is>
          <t>2023-02</t>
        </is>
      </c>
      <c r="C19" t="inlineStr">
        <is>
          <t>Bearings</t>
        </is>
      </c>
      <c r="D19" t="inlineStr">
        <is>
          <t>West</t>
        </is>
      </c>
      <c r="E19" t="n">
        <v>819</v>
      </c>
      <c r="F19" t="n">
        <v>852</v>
      </c>
      <c r="G19" t="n">
        <v>380</v>
      </c>
      <c r="H19" t="n">
        <v>311220</v>
      </c>
      <c r="I19" t="n">
        <v>205</v>
      </c>
      <c r="J19" t="n">
        <v>167895</v>
      </c>
      <c r="K19" t="n">
        <v>58</v>
      </c>
      <c r="L19" t="n">
        <v>47502</v>
      </c>
      <c r="M19" t="n">
        <v>38</v>
      </c>
      <c r="N19" t="n">
        <v>31122</v>
      </c>
      <c r="O19" t="n">
        <v>246519</v>
      </c>
      <c r="P19" t="n">
        <v>64701</v>
      </c>
      <c r="Q19" s="2" t="n">
        <v>0.2078947368421053</v>
      </c>
      <c r="R19" t="n">
        <v>1.3</v>
      </c>
      <c r="S19" t="n">
        <v>1064.7</v>
      </c>
      <c r="T19" t="n">
        <v>35.49</v>
      </c>
      <c r="U19" t="n">
        <v>5</v>
      </c>
      <c r="V19" t="n">
        <v>160</v>
      </c>
      <c r="W19" t="n">
        <v>485</v>
      </c>
      <c r="X19" t="n">
        <v>553</v>
      </c>
    </row>
    <row r="20">
      <c r="A20" t="inlineStr">
        <is>
          <t>UPR019</t>
        </is>
      </c>
      <c r="B20" t="inlineStr">
        <is>
          <t>2023-03</t>
        </is>
      </c>
      <c r="C20" t="inlineStr">
        <is>
          <t>Gears</t>
        </is>
      </c>
      <c r="D20" t="inlineStr">
        <is>
          <t>North</t>
        </is>
      </c>
      <c r="E20" t="n">
        <v>1134</v>
      </c>
      <c r="F20" t="n">
        <v>1179</v>
      </c>
      <c r="G20" t="n">
        <v>500</v>
      </c>
      <c r="H20" t="n">
        <v>567000</v>
      </c>
      <c r="I20" t="n">
        <v>260</v>
      </c>
      <c r="J20" t="n">
        <v>294840</v>
      </c>
      <c r="K20" t="n">
        <v>70</v>
      </c>
      <c r="L20" t="n">
        <v>79380</v>
      </c>
      <c r="M20" t="n">
        <v>45</v>
      </c>
      <c r="N20" t="n">
        <v>51030</v>
      </c>
      <c r="O20" t="n">
        <v>425250</v>
      </c>
      <c r="P20" t="n">
        <v>141750</v>
      </c>
      <c r="Q20" s="2" t="n">
        <v>0.25</v>
      </c>
      <c r="R20" t="n">
        <v>1.8</v>
      </c>
      <c r="S20" t="n">
        <v>2041.2</v>
      </c>
      <c r="T20" t="n">
        <v>68.04000000000001</v>
      </c>
      <c r="U20" t="n">
        <v>7</v>
      </c>
      <c r="V20" t="n">
        <v>220</v>
      </c>
      <c r="W20" t="n">
        <v>815</v>
      </c>
      <c r="X20" t="n">
        <v>854</v>
      </c>
    </row>
    <row r="21">
      <c r="A21" t="inlineStr">
        <is>
          <t>UPR020</t>
        </is>
      </c>
      <c r="B21" t="inlineStr">
        <is>
          <t>2023-03</t>
        </is>
      </c>
      <c r="C21" t="inlineStr">
        <is>
          <t>Gears</t>
        </is>
      </c>
      <c r="D21" t="inlineStr">
        <is>
          <t>South</t>
        </is>
      </c>
      <c r="E21" t="n">
        <v>1029</v>
      </c>
      <c r="F21" t="n">
        <v>1070</v>
      </c>
      <c r="G21" t="n">
        <v>500</v>
      </c>
      <c r="H21" t="n">
        <v>514500</v>
      </c>
      <c r="I21" t="n">
        <v>260</v>
      </c>
      <c r="J21" t="n">
        <v>267540</v>
      </c>
      <c r="K21" t="n">
        <v>70</v>
      </c>
      <c r="L21" t="n">
        <v>72030</v>
      </c>
      <c r="M21" t="n">
        <v>45</v>
      </c>
      <c r="N21" t="n">
        <v>46305</v>
      </c>
      <c r="O21" t="n">
        <v>385875</v>
      </c>
      <c r="P21" t="n">
        <v>128625</v>
      </c>
      <c r="Q21" s="2" t="n">
        <v>0.25</v>
      </c>
      <c r="R21" t="n">
        <v>1.8</v>
      </c>
      <c r="S21" t="n">
        <v>1852.2</v>
      </c>
      <c r="T21" t="n">
        <v>61.74</v>
      </c>
      <c r="U21" t="n">
        <v>7</v>
      </c>
      <c r="V21" t="n">
        <v>220</v>
      </c>
      <c r="W21" t="n">
        <v>815</v>
      </c>
      <c r="X21" t="n">
        <v>859</v>
      </c>
    </row>
    <row r="22">
      <c r="A22" t="inlineStr">
        <is>
          <t>UPR021</t>
        </is>
      </c>
      <c r="B22" t="inlineStr">
        <is>
          <t>2023-03</t>
        </is>
      </c>
      <c r="C22" t="inlineStr">
        <is>
          <t>Gears</t>
        </is>
      </c>
      <c r="D22" t="inlineStr">
        <is>
          <t>West</t>
        </is>
      </c>
      <c r="E22" t="n">
        <v>987</v>
      </c>
      <c r="F22" t="n">
        <v>1026</v>
      </c>
      <c r="G22" t="n">
        <v>500</v>
      </c>
      <c r="H22" t="n">
        <v>493500</v>
      </c>
      <c r="I22" t="n">
        <v>260</v>
      </c>
      <c r="J22" t="n">
        <v>256620</v>
      </c>
      <c r="K22" t="n">
        <v>70</v>
      </c>
      <c r="L22" t="n">
        <v>69090</v>
      </c>
      <c r="M22" t="n">
        <v>45</v>
      </c>
      <c r="N22" t="n">
        <v>44415</v>
      </c>
      <c r="O22" t="n">
        <v>370125</v>
      </c>
      <c r="P22" t="n">
        <v>123375</v>
      </c>
      <c r="Q22" s="2" t="n">
        <v>0.25</v>
      </c>
      <c r="R22" t="n">
        <v>1.8</v>
      </c>
      <c r="S22" t="n">
        <v>1776.6</v>
      </c>
      <c r="T22" t="n">
        <v>59.22000000000001</v>
      </c>
      <c r="U22" t="n">
        <v>7</v>
      </c>
      <c r="V22" t="n">
        <v>220</v>
      </c>
      <c r="W22" t="n">
        <v>815</v>
      </c>
      <c r="X22" t="n">
        <v>862</v>
      </c>
    </row>
    <row r="23">
      <c r="A23" t="inlineStr">
        <is>
          <t>UPR022</t>
        </is>
      </c>
      <c r="B23" t="inlineStr">
        <is>
          <t>2023-03</t>
        </is>
      </c>
      <c r="C23" t="inlineStr">
        <is>
          <t>Shafts</t>
        </is>
      </c>
      <c r="D23" t="inlineStr">
        <is>
          <t>North</t>
        </is>
      </c>
      <c r="E23" t="n">
        <v>1021</v>
      </c>
      <c r="F23" t="n">
        <v>1062</v>
      </c>
      <c r="G23" t="n">
        <v>420</v>
      </c>
      <c r="H23" t="n">
        <v>428820</v>
      </c>
      <c r="I23" t="n">
        <v>225</v>
      </c>
      <c r="J23" t="n">
        <v>229725</v>
      </c>
      <c r="K23" t="n">
        <v>62</v>
      </c>
      <c r="L23" t="n">
        <v>63302</v>
      </c>
      <c r="M23" t="n">
        <v>40</v>
      </c>
      <c r="N23" t="n">
        <v>40840</v>
      </c>
      <c r="O23" t="n">
        <v>333867</v>
      </c>
      <c r="P23" t="n">
        <v>94953</v>
      </c>
      <c r="Q23" s="2" t="n">
        <v>0.2214285714285714</v>
      </c>
      <c r="R23" t="n">
        <v>1.5</v>
      </c>
      <c r="S23" t="n">
        <v>1531.5</v>
      </c>
      <c r="T23" t="n">
        <v>51.05</v>
      </c>
      <c r="U23" t="n">
        <v>6</v>
      </c>
      <c r="V23" t="n">
        <v>180</v>
      </c>
      <c r="W23" t="n">
        <v>612</v>
      </c>
      <c r="X23" t="n">
        <v>666</v>
      </c>
    </row>
    <row r="24">
      <c r="A24" t="inlineStr">
        <is>
          <t>UPR023</t>
        </is>
      </c>
      <c r="B24" t="inlineStr">
        <is>
          <t>2023-03</t>
        </is>
      </c>
      <c r="C24" t="inlineStr">
        <is>
          <t>Shafts</t>
        </is>
      </c>
      <c r="D24" t="inlineStr">
        <is>
          <t>South</t>
        </is>
      </c>
      <c r="E24" t="n">
        <v>926</v>
      </c>
      <c r="F24" t="n">
        <v>963</v>
      </c>
      <c r="G24" t="n">
        <v>420</v>
      </c>
      <c r="H24" t="n">
        <v>388920</v>
      </c>
      <c r="I24" t="n">
        <v>225</v>
      </c>
      <c r="J24" t="n">
        <v>208350</v>
      </c>
      <c r="K24" t="n">
        <v>62</v>
      </c>
      <c r="L24" t="n">
        <v>57412</v>
      </c>
      <c r="M24" t="n">
        <v>40</v>
      </c>
      <c r="N24" t="n">
        <v>37040</v>
      </c>
      <c r="O24" t="n">
        <v>302802</v>
      </c>
      <c r="P24" t="n">
        <v>86118</v>
      </c>
      <c r="Q24" s="2" t="n">
        <v>0.2214285714285714</v>
      </c>
      <c r="R24" t="n">
        <v>1.5</v>
      </c>
      <c r="S24" t="n">
        <v>1389</v>
      </c>
      <c r="T24" t="n">
        <v>46.3</v>
      </c>
      <c r="U24" t="n">
        <v>6</v>
      </c>
      <c r="V24" t="n">
        <v>180</v>
      </c>
      <c r="W24" t="n">
        <v>612</v>
      </c>
      <c r="X24" t="n">
        <v>670</v>
      </c>
    </row>
    <row r="25">
      <c r="A25" t="inlineStr">
        <is>
          <t>UPR024</t>
        </is>
      </c>
      <c r="B25" t="inlineStr">
        <is>
          <t>2023-03</t>
        </is>
      </c>
      <c r="C25" t="inlineStr">
        <is>
          <t>Shafts</t>
        </is>
      </c>
      <c r="D25" t="inlineStr">
        <is>
          <t>West</t>
        </is>
      </c>
      <c r="E25" t="n">
        <v>888</v>
      </c>
      <c r="F25" t="n">
        <v>924</v>
      </c>
      <c r="G25" t="n">
        <v>420</v>
      </c>
      <c r="H25" t="n">
        <v>372960</v>
      </c>
      <c r="I25" t="n">
        <v>225</v>
      </c>
      <c r="J25" t="n">
        <v>199800</v>
      </c>
      <c r="K25" t="n">
        <v>62</v>
      </c>
      <c r="L25" t="n">
        <v>55056</v>
      </c>
      <c r="M25" t="n">
        <v>40</v>
      </c>
      <c r="N25" t="n">
        <v>35520</v>
      </c>
      <c r="O25" t="n">
        <v>290376</v>
      </c>
      <c r="P25" t="n">
        <v>82584</v>
      </c>
      <c r="Q25" s="2" t="n">
        <v>0.2214285714285714</v>
      </c>
      <c r="R25" t="n">
        <v>1.5</v>
      </c>
      <c r="S25" t="n">
        <v>1332</v>
      </c>
      <c r="T25" t="n">
        <v>44.4</v>
      </c>
      <c r="U25" t="n">
        <v>6</v>
      </c>
      <c r="V25" t="n">
        <v>180</v>
      </c>
      <c r="W25" t="n">
        <v>612</v>
      </c>
      <c r="X25" t="n">
        <v>672</v>
      </c>
    </row>
    <row r="26">
      <c r="A26" t="inlineStr">
        <is>
          <t>UPR025</t>
        </is>
      </c>
      <c r="B26" t="inlineStr">
        <is>
          <t>2023-03</t>
        </is>
      </c>
      <c r="C26" t="inlineStr">
        <is>
          <t>Bearings</t>
        </is>
      </c>
      <c r="D26" t="inlineStr">
        <is>
          <t>North</t>
        </is>
      </c>
      <c r="E26" t="n">
        <v>964</v>
      </c>
      <c r="F26" t="n">
        <v>1003</v>
      </c>
      <c r="G26" t="n">
        <v>380</v>
      </c>
      <c r="H26" t="n">
        <v>366320</v>
      </c>
      <c r="I26" t="n">
        <v>205</v>
      </c>
      <c r="J26" t="n">
        <v>197620</v>
      </c>
      <c r="K26" t="n">
        <v>58</v>
      </c>
      <c r="L26" t="n">
        <v>55912</v>
      </c>
      <c r="M26" t="n">
        <v>38</v>
      </c>
      <c r="N26" t="n">
        <v>36632</v>
      </c>
      <c r="O26" t="n">
        <v>290164</v>
      </c>
      <c r="P26" t="n">
        <v>76156</v>
      </c>
      <c r="Q26" s="2" t="n">
        <v>0.2078947368421053</v>
      </c>
      <c r="R26" t="n">
        <v>1.3</v>
      </c>
      <c r="S26" t="n">
        <v>1253.2</v>
      </c>
      <c r="T26" t="n">
        <v>41.77333333333333</v>
      </c>
      <c r="U26" t="n">
        <v>5</v>
      </c>
      <c r="V26" t="n">
        <v>160</v>
      </c>
      <c r="W26" t="n">
        <v>485</v>
      </c>
      <c r="X26" t="n">
        <v>547</v>
      </c>
    </row>
    <row r="27">
      <c r="A27" t="inlineStr">
        <is>
          <t>UPR026</t>
        </is>
      </c>
      <c r="B27" t="inlineStr">
        <is>
          <t>2023-03</t>
        </is>
      </c>
      <c r="C27" t="inlineStr">
        <is>
          <t>Bearings</t>
        </is>
      </c>
      <c r="D27" t="inlineStr">
        <is>
          <t>South</t>
        </is>
      </c>
      <c r="E27" t="n">
        <v>875</v>
      </c>
      <c r="F27" t="n">
        <v>910</v>
      </c>
      <c r="G27" t="n">
        <v>380</v>
      </c>
      <c r="H27" t="n">
        <v>332500</v>
      </c>
      <c r="I27" t="n">
        <v>205</v>
      </c>
      <c r="J27" t="n">
        <v>179375</v>
      </c>
      <c r="K27" t="n">
        <v>58</v>
      </c>
      <c r="L27" t="n">
        <v>50750</v>
      </c>
      <c r="M27" t="n">
        <v>38</v>
      </c>
      <c r="N27" t="n">
        <v>33250</v>
      </c>
      <c r="O27" t="n">
        <v>263375</v>
      </c>
      <c r="P27" t="n">
        <v>69125</v>
      </c>
      <c r="Q27" s="2" t="n">
        <v>0.2078947368421053</v>
      </c>
      <c r="R27" t="n">
        <v>1.3</v>
      </c>
      <c r="S27" t="n">
        <v>1137.5</v>
      </c>
      <c r="T27" t="n">
        <v>37.91666666666666</v>
      </c>
      <c r="U27" t="n">
        <v>5</v>
      </c>
      <c r="V27" t="n">
        <v>160</v>
      </c>
      <c r="W27" t="n">
        <v>485</v>
      </c>
      <c r="X27" t="n">
        <v>551</v>
      </c>
    </row>
    <row r="28">
      <c r="A28" t="inlineStr">
        <is>
          <t>UPR027</t>
        </is>
      </c>
      <c r="B28" t="inlineStr">
        <is>
          <t>2023-03</t>
        </is>
      </c>
      <c r="C28" t="inlineStr">
        <is>
          <t>Bearings</t>
        </is>
      </c>
      <c r="D28" t="inlineStr">
        <is>
          <t>West</t>
        </is>
      </c>
      <c r="E28" t="n">
        <v>839</v>
      </c>
      <c r="F28" t="n">
        <v>873</v>
      </c>
      <c r="G28" t="n">
        <v>380</v>
      </c>
      <c r="H28" t="n">
        <v>318820</v>
      </c>
      <c r="I28" t="n">
        <v>205</v>
      </c>
      <c r="J28" t="n">
        <v>171995</v>
      </c>
      <c r="K28" t="n">
        <v>58</v>
      </c>
      <c r="L28" t="n">
        <v>48662</v>
      </c>
      <c r="M28" t="n">
        <v>38</v>
      </c>
      <c r="N28" t="n">
        <v>31882</v>
      </c>
      <c r="O28" t="n">
        <v>252539</v>
      </c>
      <c r="P28" t="n">
        <v>66281</v>
      </c>
      <c r="Q28" s="2" t="n">
        <v>0.2078947368421053</v>
      </c>
      <c r="R28" t="n">
        <v>1.3</v>
      </c>
      <c r="S28" t="n">
        <v>1090.7</v>
      </c>
      <c r="T28" t="n">
        <v>36.35666666666667</v>
      </c>
      <c r="U28" t="n">
        <v>5</v>
      </c>
      <c r="V28" t="n">
        <v>160</v>
      </c>
      <c r="W28" t="n">
        <v>485</v>
      </c>
      <c r="X28" t="n">
        <v>552</v>
      </c>
    </row>
    <row r="29">
      <c r="A29" t="inlineStr">
        <is>
          <t>UPR028</t>
        </is>
      </c>
      <c r="B29" t="inlineStr">
        <is>
          <t>2023-04</t>
        </is>
      </c>
      <c r="C29" t="inlineStr">
        <is>
          <t>Gears</t>
        </is>
      </c>
      <c r="D29" t="inlineStr">
        <is>
          <t>North</t>
        </is>
      </c>
      <c r="E29" t="n">
        <v>1161</v>
      </c>
      <c r="F29" t="n">
        <v>1207</v>
      </c>
      <c r="G29" t="n">
        <v>500</v>
      </c>
      <c r="H29" t="n">
        <v>580500</v>
      </c>
      <c r="I29" t="n">
        <v>260</v>
      </c>
      <c r="J29" t="n">
        <v>301860</v>
      </c>
      <c r="K29" t="n">
        <v>70</v>
      </c>
      <c r="L29" t="n">
        <v>81270</v>
      </c>
      <c r="M29" t="n">
        <v>45</v>
      </c>
      <c r="N29" t="n">
        <v>52245</v>
      </c>
      <c r="O29" t="n">
        <v>435375</v>
      </c>
      <c r="P29" t="n">
        <v>145125</v>
      </c>
      <c r="Q29" s="2" t="n">
        <v>0.25</v>
      </c>
      <c r="R29" t="n">
        <v>1.8</v>
      </c>
      <c r="S29" t="n">
        <v>2089.8</v>
      </c>
      <c r="T29" t="n">
        <v>69.66000000000001</v>
      </c>
      <c r="U29" t="n">
        <v>7</v>
      </c>
      <c r="V29" t="n">
        <v>220</v>
      </c>
      <c r="W29" t="n">
        <v>815</v>
      </c>
      <c r="X29" t="n">
        <v>852</v>
      </c>
    </row>
    <row r="30">
      <c r="A30" t="inlineStr">
        <is>
          <t>UPR029</t>
        </is>
      </c>
      <c r="B30" t="inlineStr">
        <is>
          <t>2023-04</t>
        </is>
      </c>
      <c r="C30" t="inlineStr">
        <is>
          <t>Gears</t>
        </is>
      </c>
      <c r="D30" t="inlineStr">
        <is>
          <t>South</t>
        </is>
      </c>
      <c r="E30" t="n">
        <v>1054</v>
      </c>
      <c r="F30" t="n">
        <v>1096</v>
      </c>
      <c r="G30" t="n">
        <v>500</v>
      </c>
      <c r="H30" t="n">
        <v>527000</v>
      </c>
      <c r="I30" t="n">
        <v>260</v>
      </c>
      <c r="J30" t="n">
        <v>274040</v>
      </c>
      <c r="K30" t="n">
        <v>70</v>
      </c>
      <c r="L30" t="n">
        <v>73780</v>
      </c>
      <c r="M30" t="n">
        <v>45</v>
      </c>
      <c r="N30" t="n">
        <v>47430</v>
      </c>
      <c r="O30" t="n">
        <v>395250</v>
      </c>
      <c r="P30" t="n">
        <v>131750</v>
      </c>
      <c r="Q30" s="2" t="n">
        <v>0.25</v>
      </c>
      <c r="R30" t="n">
        <v>1.8</v>
      </c>
      <c r="S30" t="n">
        <v>1897.2</v>
      </c>
      <c r="T30" t="n">
        <v>63.24</v>
      </c>
      <c r="U30" t="n">
        <v>7</v>
      </c>
      <c r="V30" t="n">
        <v>220</v>
      </c>
      <c r="W30" t="n">
        <v>815</v>
      </c>
      <c r="X30" t="n">
        <v>858</v>
      </c>
    </row>
    <row r="31">
      <c r="A31" t="inlineStr">
        <is>
          <t>UPR030</t>
        </is>
      </c>
      <c r="B31" t="inlineStr">
        <is>
          <t>2023-04</t>
        </is>
      </c>
      <c r="C31" t="inlineStr">
        <is>
          <t>Gears</t>
        </is>
      </c>
      <c r="D31" t="inlineStr">
        <is>
          <t>West</t>
        </is>
      </c>
      <c r="E31" t="n">
        <v>1010</v>
      </c>
      <c r="F31" t="n">
        <v>1050</v>
      </c>
      <c r="G31" t="n">
        <v>500</v>
      </c>
      <c r="H31" t="n">
        <v>505000</v>
      </c>
      <c r="I31" t="n">
        <v>260</v>
      </c>
      <c r="J31" t="n">
        <v>262600</v>
      </c>
      <c r="K31" t="n">
        <v>70</v>
      </c>
      <c r="L31" t="n">
        <v>70700</v>
      </c>
      <c r="M31" t="n">
        <v>45</v>
      </c>
      <c r="N31" t="n">
        <v>45450</v>
      </c>
      <c r="O31" t="n">
        <v>378750</v>
      </c>
      <c r="P31" t="n">
        <v>126250</v>
      </c>
      <c r="Q31" s="2" t="n">
        <v>0.25</v>
      </c>
      <c r="R31" t="n">
        <v>1.8</v>
      </c>
      <c r="S31" t="n">
        <v>1818</v>
      </c>
      <c r="T31" t="n">
        <v>60.6</v>
      </c>
      <c r="U31" t="n">
        <v>7</v>
      </c>
      <c r="V31" t="n">
        <v>220</v>
      </c>
      <c r="W31" t="n">
        <v>815</v>
      </c>
      <c r="X31" t="n">
        <v>860</v>
      </c>
    </row>
    <row r="32">
      <c r="A32" t="inlineStr">
        <is>
          <t>UPR031</t>
        </is>
      </c>
      <c r="B32" t="inlineStr">
        <is>
          <t>2023-04</t>
        </is>
      </c>
      <c r="C32" t="inlineStr">
        <is>
          <t>Shafts</t>
        </is>
      </c>
      <c r="D32" t="inlineStr">
        <is>
          <t>North</t>
        </is>
      </c>
      <c r="E32" t="n">
        <v>1045</v>
      </c>
      <c r="F32" t="n">
        <v>1087</v>
      </c>
      <c r="G32" t="n">
        <v>420</v>
      </c>
      <c r="H32" t="n">
        <v>438900</v>
      </c>
      <c r="I32" t="n">
        <v>225</v>
      </c>
      <c r="J32" t="n">
        <v>235125</v>
      </c>
      <c r="K32" t="n">
        <v>62</v>
      </c>
      <c r="L32" t="n">
        <v>64790</v>
      </c>
      <c r="M32" t="n">
        <v>40</v>
      </c>
      <c r="N32" t="n">
        <v>41800</v>
      </c>
      <c r="O32" t="n">
        <v>341715</v>
      </c>
      <c r="P32" t="n">
        <v>97185</v>
      </c>
      <c r="Q32" s="2" t="n">
        <v>0.2214285714285714</v>
      </c>
      <c r="R32" t="n">
        <v>1.5</v>
      </c>
      <c r="S32" t="n">
        <v>1567.5</v>
      </c>
      <c r="T32" t="n">
        <v>52.25</v>
      </c>
      <c r="U32" t="n">
        <v>6</v>
      </c>
      <c r="V32" t="n">
        <v>180</v>
      </c>
      <c r="W32" t="n">
        <v>612</v>
      </c>
      <c r="X32" t="n">
        <v>665</v>
      </c>
    </row>
    <row r="33">
      <c r="A33" t="inlineStr">
        <is>
          <t>UPR032</t>
        </is>
      </c>
      <c r="B33" t="inlineStr">
        <is>
          <t>2023-04</t>
        </is>
      </c>
      <c r="C33" t="inlineStr">
        <is>
          <t>Shafts</t>
        </is>
      </c>
      <c r="D33" t="inlineStr">
        <is>
          <t>South</t>
        </is>
      </c>
      <c r="E33" t="n">
        <v>948</v>
      </c>
      <c r="F33" t="n">
        <v>986</v>
      </c>
      <c r="G33" t="n">
        <v>420</v>
      </c>
      <c r="H33" t="n">
        <v>398160</v>
      </c>
      <c r="I33" t="n">
        <v>225</v>
      </c>
      <c r="J33" t="n">
        <v>213300</v>
      </c>
      <c r="K33" t="n">
        <v>62</v>
      </c>
      <c r="L33" t="n">
        <v>58776</v>
      </c>
      <c r="M33" t="n">
        <v>40</v>
      </c>
      <c r="N33" t="n">
        <v>37920</v>
      </c>
      <c r="O33" t="n">
        <v>309996</v>
      </c>
      <c r="P33" t="n">
        <v>88164</v>
      </c>
      <c r="Q33" s="2" t="n">
        <v>0.2214285714285714</v>
      </c>
      <c r="R33" t="n">
        <v>1.5</v>
      </c>
      <c r="S33" t="n">
        <v>1422</v>
      </c>
      <c r="T33" t="n">
        <v>47.4</v>
      </c>
      <c r="U33" t="n">
        <v>6</v>
      </c>
      <c r="V33" t="n">
        <v>180</v>
      </c>
      <c r="W33" t="n">
        <v>612</v>
      </c>
      <c r="X33" t="n">
        <v>669</v>
      </c>
    </row>
    <row r="34">
      <c r="A34" t="inlineStr">
        <is>
          <t>UPR033</t>
        </is>
      </c>
      <c r="B34" t="inlineStr">
        <is>
          <t>2023-04</t>
        </is>
      </c>
      <c r="C34" t="inlineStr">
        <is>
          <t>Shafts</t>
        </is>
      </c>
      <c r="D34" t="inlineStr">
        <is>
          <t>West</t>
        </is>
      </c>
      <c r="E34" t="n">
        <v>909</v>
      </c>
      <c r="F34" t="n">
        <v>945</v>
      </c>
      <c r="G34" t="n">
        <v>420</v>
      </c>
      <c r="H34" t="n">
        <v>381780</v>
      </c>
      <c r="I34" t="n">
        <v>225</v>
      </c>
      <c r="J34" t="n">
        <v>204525</v>
      </c>
      <c r="K34" t="n">
        <v>62</v>
      </c>
      <c r="L34" t="n">
        <v>56358</v>
      </c>
      <c r="M34" t="n">
        <v>40</v>
      </c>
      <c r="N34" t="n">
        <v>36360</v>
      </c>
      <c r="O34" t="n">
        <v>297243</v>
      </c>
      <c r="P34" t="n">
        <v>84537</v>
      </c>
      <c r="Q34" s="2" t="n">
        <v>0.2214285714285714</v>
      </c>
      <c r="R34" t="n">
        <v>1.5</v>
      </c>
      <c r="S34" t="n">
        <v>1363.5</v>
      </c>
      <c r="T34" t="n">
        <v>45.45</v>
      </c>
      <c r="U34" t="n">
        <v>6</v>
      </c>
      <c r="V34" t="n">
        <v>180</v>
      </c>
      <c r="W34" t="n">
        <v>612</v>
      </c>
      <c r="X34" t="n">
        <v>671</v>
      </c>
    </row>
    <row r="35">
      <c r="A35" t="inlineStr">
        <is>
          <t>UPR034</t>
        </is>
      </c>
      <c r="B35" t="inlineStr">
        <is>
          <t>2023-04</t>
        </is>
      </c>
      <c r="C35" t="inlineStr">
        <is>
          <t>Bearings</t>
        </is>
      </c>
      <c r="D35" t="inlineStr">
        <is>
          <t>North</t>
        </is>
      </c>
      <c r="E35" t="n">
        <v>987</v>
      </c>
      <c r="F35" t="n">
        <v>1026</v>
      </c>
      <c r="G35" t="n">
        <v>380</v>
      </c>
      <c r="H35" t="n">
        <v>375060</v>
      </c>
      <c r="I35" t="n">
        <v>205</v>
      </c>
      <c r="J35" t="n">
        <v>202335</v>
      </c>
      <c r="K35" t="n">
        <v>58</v>
      </c>
      <c r="L35" t="n">
        <v>57246</v>
      </c>
      <c r="M35" t="n">
        <v>38</v>
      </c>
      <c r="N35" t="n">
        <v>37506</v>
      </c>
      <c r="O35" t="n">
        <v>297087</v>
      </c>
      <c r="P35" t="n">
        <v>77973</v>
      </c>
      <c r="Q35" s="2" t="n">
        <v>0.2078947368421053</v>
      </c>
      <c r="R35" t="n">
        <v>1.3</v>
      </c>
      <c r="S35" t="n">
        <v>1283.1</v>
      </c>
      <c r="T35" t="n">
        <v>42.77</v>
      </c>
      <c r="U35" t="n">
        <v>5</v>
      </c>
      <c r="V35" t="n">
        <v>160</v>
      </c>
      <c r="W35" t="n">
        <v>485</v>
      </c>
      <c r="X35" t="n">
        <v>547</v>
      </c>
    </row>
    <row r="36">
      <c r="A36" t="inlineStr">
        <is>
          <t>UPR035</t>
        </is>
      </c>
      <c r="B36" t="inlineStr">
        <is>
          <t>2023-04</t>
        </is>
      </c>
      <c r="C36" t="inlineStr">
        <is>
          <t>Bearings</t>
        </is>
      </c>
      <c r="D36" t="inlineStr">
        <is>
          <t>South</t>
        </is>
      </c>
      <c r="E36" t="n">
        <v>895</v>
      </c>
      <c r="F36" t="n">
        <v>931</v>
      </c>
      <c r="G36" t="n">
        <v>380</v>
      </c>
      <c r="H36" t="n">
        <v>340100</v>
      </c>
      <c r="I36" t="n">
        <v>205</v>
      </c>
      <c r="J36" t="n">
        <v>183475</v>
      </c>
      <c r="K36" t="n">
        <v>58</v>
      </c>
      <c r="L36" t="n">
        <v>51910</v>
      </c>
      <c r="M36" t="n">
        <v>38</v>
      </c>
      <c r="N36" t="n">
        <v>34010</v>
      </c>
      <c r="O36" t="n">
        <v>269395</v>
      </c>
      <c r="P36" t="n">
        <v>70705</v>
      </c>
      <c r="Q36" s="2" t="n">
        <v>0.2078947368421053</v>
      </c>
      <c r="R36" t="n">
        <v>1.3</v>
      </c>
      <c r="S36" t="n">
        <v>1163.5</v>
      </c>
      <c r="T36" t="n">
        <v>38.78333333333333</v>
      </c>
      <c r="U36" t="n">
        <v>5</v>
      </c>
      <c r="V36" t="n">
        <v>160</v>
      </c>
      <c r="W36" t="n">
        <v>485</v>
      </c>
      <c r="X36" t="n">
        <v>550</v>
      </c>
    </row>
    <row r="37">
      <c r="A37" t="inlineStr">
        <is>
          <t>UPR036</t>
        </is>
      </c>
      <c r="B37" t="inlineStr">
        <is>
          <t>2023-04</t>
        </is>
      </c>
      <c r="C37" t="inlineStr">
        <is>
          <t>Bearings</t>
        </is>
      </c>
      <c r="D37" t="inlineStr">
        <is>
          <t>West</t>
        </is>
      </c>
      <c r="E37" t="n">
        <v>859</v>
      </c>
      <c r="F37" t="n">
        <v>893</v>
      </c>
      <c r="G37" t="n">
        <v>380</v>
      </c>
      <c r="H37" t="n">
        <v>326420</v>
      </c>
      <c r="I37" t="n">
        <v>205</v>
      </c>
      <c r="J37" t="n">
        <v>176095</v>
      </c>
      <c r="K37" t="n">
        <v>58</v>
      </c>
      <c r="L37" t="n">
        <v>49822</v>
      </c>
      <c r="M37" t="n">
        <v>38</v>
      </c>
      <c r="N37" t="n">
        <v>32642</v>
      </c>
      <c r="O37" t="n">
        <v>258559</v>
      </c>
      <c r="P37" t="n">
        <v>67861</v>
      </c>
      <c r="Q37" s="2" t="n">
        <v>0.2078947368421053</v>
      </c>
      <c r="R37" t="n">
        <v>1.3</v>
      </c>
      <c r="S37" t="n">
        <v>1116.7</v>
      </c>
      <c r="T37" t="n">
        <v>37.22333333333334</v>
      </c>
      <c r="U37" t="n">
        <v>5</v>
      </c>
      <c r="V37" t="n">
        <v>160</v>
      </c>
      <c r="W37" t="n">
        <v>485</v>
      </c>
      <c r="X37" t="n">
        <v>551</v>
      </c>
    </row>
    <row r="38">
      <c r="A38" t="inlineStr">
        <is>
          <t>UPR037</t>
        </is>
      </c>
      <c r="B38" t="inlineStr">
        <is>
          <t>2023-05</t>
        </is>
      </c>
      <c r="C38" t="inlineStr">
        <is>
          <t>Gears</t>
        </is>
      </c>
      <c r="D38" t="inlineStr">
        <is>
          <t>North</t>
        </is>
      </c>
      <c r="E38" t="n">
        <v>1188</v>
      </c>
      <c r="F38" t="n">
        <v>1236</v>
      </c>
      <c r="G38" t="n">
        <v>500</v>
      </c>
      <c r="H38" t="n">
        <v>594000</v>
      </c>
      <c r="I38" t="n">
        <v>260</v>
      </c>
      <c r="J38" t="n">
        <v>308880</v>
      </c>
      <c r="K38" t="n">
        <v>70</v>
      </c>
      <c r="L38" t="n">
        <v>83160</v>
      </c>
      <c r="M38" t="n">
        <v>45</v>
      </c>
      <c r="N38" t="n">
        <v>53460</v>
      </c>
      <c r="O38" t="n">
        <v>445500</v>
      </c>
      <c r="P38" t="n">
        <v>148500</v>
      </c>
      <c r="Q38" s="2" t="n">
        <v>0.25</v>
      </c>
      <c r="R38" t="n">
        <v>1.8</v>
      </c>
      <c r="S38" t="n">
        <v>2138.4</v>
      </c>
      <c r="T38" t="n">
        <v>71.28</v>
      </c>
      <c r="U38" t="n">
        <v>7</v>
      </c>
      <c r="V38" t="n">
        <v>220</v>
      </c>
      <c r="W38" t="n">
        <v>815</v>
      </c>
      <c r="X38" t="n">
        <v>851</v>
      </c>
    </row>
    <row r="39">
      <c r="A39" t="inlineStr">
        <is>
          <t>UPR038</t>
        </is>
      </c>
      <c r="B39" t="inlineStr">
        <is>
          <t>2023-05</t>
        </is>
      </c>
      <c r="C39" t="inlineStr">
        <is>
          <t>Gears</t>
        </is>
      </c>
      <c r="D39" t="inlineStr">
        <is>
          <t>South</t>
        </is>
      </c>
      <c r="E39" t="n">
        <v>1078</v>
      </c>
      <c r="F39" t="n">
        <v>1121</v>
      </c>
      <c r="G39" t="n">
        <v>500</v>
      </c>
      <c r="H39" t="n">
        <v>539000</v>
      </c>
      <c r="I39" t="n">
        <v>260</v>
      </c>
      <c r="J39" t="n">
        <v>280280</v>
      </c>
      <c r="K39" t="n">
        <v>70</v>
      </c>
      <c r="L39" t="n">
        <v>75460</v>
      </c>
      <c r="M39" t="n">
        <v>45</v>
      </c>
      <c r="N39" t="n">
        <v>48510</v>
      </c>
      <c r="O39" t="n">
        <v>404250</v>
      </c>
      <c r="P39" t="n">
        <v>134750</v>
      </c>
      <c r="Q39" s="2" t="n">
        <v>0.25</v>
      </c>
      <c r="R39" t="n">
        <v>1.8</v>
      </c>
      <c r="S39" t="n">
        <v>1940.4</v>
      </c>
      <c r="T39" t="n">
        <v>64.68000000000001</v>
      </c>
      <c r="U39" t="n">
        <v>7</v>
      </c>
      <c r="V39" t="n">
        <v>220</v>
      </c>
      <c r="W39" t="n">
        <v>815</v>
      </c>
      <c r="X39" t="n">
        <v>857</v>
      </c>
    </row>
    <row r="40">
      <c r="A40" t="inlineStr">
        <is>
          <t>UPR039</t>
        </is>
      </c>
      <c r="B40" t="inlineStr">
        <is>
          <t>2023-05</t>
        </is>
      </c>
      <c r="C40" t="inlineStr">
        <is>
          <t>Gears</t>
        </is>
      </c>
      <c r="D40" t="inlineStr">
        <is>
          <t>West</t>
        </is>
      </c>
      <c r="E40" t="n">
        <v>1034</v>
      </c>
      <c r="F40" t="n">
        <v>1075</v>
      </c>
      <c r="G40" t="n">
        <v>500</v>
      </c>
      <c r="H40" t="n">
        <v>517000</v>
      </c>
      <c r="I40" t="n">
        <v>260</v>
      </c>
      <c r="J40" t="n">
        <v>268840</v>
      </c>
      <c r="K40" t="n">
        <v>70</v>
      </c>
      <c r="L40" t="n">
        <v>72380</v>
      </c>
      <c r="M40" t="n">
        <v>45</v>
      </c>
      <c r="N40" t="n">
        <v>46530</v>
      </c>
      <c r="O40" t="n">
        <v>387750</v>
      </c>
      <c r="P40" t="n">
        <v>129250</v>
      </c>
      <c r="Q40" s="2" t="n">
        <v>0.25</v>
      </c>
      <c r="R40" t="n">
        <v>1.8</v>
      </c>
      <c r="S40" t="n">
        <v>1861.2</v>
      </c>
      <c r="T40" t="n">
        <v>62.04</v>
      </c>
      <c r="U40" t="n">
        <v>7</v>
      </c>
      <c r="V40" t="n">
        <v>220</v>
      </c>
      <c r="W40" t="n">
        <v>815</v>
      </c>
      <c r="X40" t="n">
        <v>859</v>
      </c>
    </row>
    <row r="41">
      <c r="A41" t="inlineStr">
        <is>
          <t>UPR040</t>
        </is>
      </c>
      <c r="B41" t="inlineStr">
        <is>
          <t>2023-05</t>
        </is>
      </c>
      <c r="C41" t="inlineStr">
        <is>
          <t>Shafts</t>
        </is>
      </c>
      <c r="D41" t="inlineStr">
        <is>
          <t>North</t>
        </is>
      </c>
      <c r="E41" t="n">
        <v>1069</v>
      </c>
      <c r="F41" t="n">
        <v>1112</v>
      </c>
      <c r="G41" t="n">
        <v>420</v>
      </c>
      <c r="H41" t="n">
        <v>448980</v>
      </c>
      <c r="I41" t="n">
        <v>225</v>
      </c>
      <c r="J41" t="n">
        <v>240525</v>
      </c>
      <c r="K41" t="n">
        <v>62</v>
      </c>
      <c r="L41" t="n">
        <v>66278</v>
      </c>
      <c r="M41" t="n">
        <v>40</v>
      </c>
      <c r="N41" t="n">
        <v>42760</v>
      </c>
      <c r="O41" t="n">
        <v>349563</v>
      </c>
      <c r="P41" t="n">
        <v>99417</v>
      </c>
      <c r="Q41" s="2" t="n">
        <v>0.2214285714285714</v>
      </c>
      <c r="R41" t="n">
        <v>1.5</v>
      </c>
      <c r="S41" t="n">
        <v>1603.5</v>
      </c>
      <c r="T41" t="n">
        <v>53.45</v>
      </c>
      <c r="U41" t="n">
        <v>6</v>
      </c>
      <c r="V41" t="n">
        <v>180</v>
      </c>
      <c r="W41" t="n">
        <v>612</v>
      </c>
      <c r="X41" t="n">
        <v>664</v>
      </c>
    </row>
    <row r="42">
      <c r="A42" t="inlineStr">
        <is>
          <t>UPR041</t>
        </is>
      </c>
      <c r="B42" t="inlineStr">
        <is>
          <t>2023-05</t>
        </is>
      </c>
      <c r="C42" t="inlineStr">
        <is>
          <t>Shafts</t>
        </is>
      </c>
      <c r="D42" t="inlineStr">
        <is>
          <t>South</t>
        </is>
      </c>
      <c r="E42" t="n">
        <v>970</v>
      </c>
      <c r="F42" t="n">
        <v>1009</v>
      </c>
      <c r="G42" t="n">
        <v>420</v>
      </c>
      <c r="H42" t="n">
        <v>407400</v>
      </c>
      <c r="I42" t="n">
        <v>225</v>
      </c>
      <c r="J42" t="n">
        <v>218250</v>
      </c>
      <c r="K42" t="n">
        <v>62</v>
      </c>
      <c r="L42" t="n">
        <v>60140</v>
      </c>
      <c r="M42" t="n">
        <v>40</v>
      </c>
      <c r="N42" t="n">
        <v>38800</v>
      </c>
      <c r="O42" t="n">
        <v>317190</v>
      </c>
      <c r="P42" t="n">
        <v>90210</v>
      </c>
      <c r="Q42" s="2" t="n">
        <v>0.2214285714285714</v>
      </c>
      <c r="R42" t="n">
        <v>1.5</v>
      </c>
      <c r="S42" t="n">
        <v>1455</v>
      </c>
      <c r="T42" t="n">
        <v>48.5</v>
      </c>
      <c r="U42" t="n">
        <v>6</v>
      </c>
      <c r="V42" t="n">
        <v>180</v>
      </c>
      <c r="W42" t="n">
        <v>612</v>
      </c>
      <c r="X42" t="n">
        <v>668</v>
      </c>
    </row>
    <row r="43">
      <c r="A43" t="inlineStr">
        <is>
          <t>UPR042</t>
        </is>
      </c>
      <c r="B43" t="inlineStr">
        <is>
          <t>2023-05</t>
        </is>
      </c>
      <c r="C43" t="inlineStr">
        <is>
          <t>Shafts</t>
        </is>
      </c>
      <c r="D43" t="inlineStr">
        <is>
          <t>West</t>
        </is>
      </c>
      <c r="E43" t="n">
        <v>931</v>
      </c>
      <c r="F43" t="n">
        <v>968</v>
      </c>
      <c r="G43" t="n">
        <v>420</v>
      </c>
      <c r="H43" t="n">
        <v>391020</v>
      </c>
      <c r="I43" t="n">
        <v>225</v>
      </c>
      <c r="J43" t="n">
        <v>209475</v>
      </c>
      <c r="K43" t="n">
        <v>62</v>
      </c>
      <c r="L43" t="n">
        <v>57722</v>
      </c>
      <c r="M43" t="n">
        <v>40</v>
      </c>
      <c r="N43" t="n">
        <v>37240</v>
      </c>
      <c r="O43" t="n">
        <v>304437</v>
      </c>
      <c r="P43" t="n">
        <v>86583</v>
      </c>
      <c r="Q43" s="2" t="n">
        <v>0.2214285714285714</v>
      </c>
      <c r="R43" t="n">
        <v>1.5</v>
      </c>
      <c r="S43" t="n">
        <v>1396.5</v>
      </c>
      <c r="T43" t="n">
        <v>46.55</v>
      </c>
      <c r="U43" t="n">
        <v>6</v>
      </c>
      <c r="V43" t="n">
        <v>180</v>
      </c>
      <c r="W43" t="n">
        <v>612</v>
      </c>
      <c r="X43" t="n">
        <v>670</v>
      </c>
    </row>
    <row r="44">
      <c r="A44" t="inlineStr">
        <is>
          <t>UPR043</t>
        </is>
      </c>
      <c r="B44" t="inlineStr">
        <is>
          <t>2023-05</t>
        </is>
      </c>
      <c r="C44" t="inlineStr">
        <is>
          <t>Bearings</t>
        </is>
      </c>
      <c r="D44" t="inlineStr">
        <is>
          <t>North</t>
        </is>
      </c>
      <c r="E44" t="n">
        <v>1010</v>
      </c>
      <c r="F44" t="n">
        <v>1050</v>
      </c>
      <c r="G44" t="n">
        <v>380</v>
      </c>
      <c r="H44" t="n">
        <v>383800</v>
      </c>
      <c r="I44" t="n">
        <v>205</v>
      </c>
      <c r="J44" t="n">
        <v>207050</v>
      </c>
      <c r="K44" t="n">
        <v>58</v>
      </c>
      <c r="L44" t="n">
        <v>58580</v>
      </c>
      <c r="M44" t="n">
        <v>38</v>
      </c>
      <c r="N44" t="n">
        <v>38380</v>
      </c>
      <c r="O44" t="n">
        <v>304010</v>
      </c>
      <c r="P44" t="n">
        <v>79790</v>
      </c>
      <c r="Q44" s="2" t="n">
        <v>0.2078947368421053</v>
      </c>
      <c r="R44" t="n">
        <v>1.3</v>
      </c>
      <c r="S44" t="n">
        <v>1313</v>
      </c>
      <c r="T44" t="n">
        <v>43.76666666666667</v>
      </c>
      <c r="U44" t="n">
        <v>5</v>
      </c>
      <c r="V44" t="n">
        <v>160</v>
      </c>
      <c r="W44" t="n">
        <v>485</v>
      </c>
      <c r="X44" t="n">
        <v>546</v>
      </c>
    </row>
    <row r="45">
      <c r="A45" t="inlineStr">
        <is>
          <t>UPR044</t>
        </is>
      </c>
      <c r="B45" t="inlineStr">
        <is>
          <t>2023-05</t>
        </is>
      </c>
      <c r="C45" t="inlineStr">
        <is>
          <t>Bearings</t>
        </is>
      </c>
      <c r="D45" t="inlineStr">
        <is>
          <t>South</t>
        </is>
      </c>
      <c r="E45" t="n">
        <v>916</v>
      </c>
      <c r="F45" t="n">
        <v>953</v>
      </c>
      <c r="G45" t="n">
        <v>380</v>
      </c>
      <c r="H45" t="n">
        <v>348080</v>
      </c>
      <c r="I45" t="n">
        <v>205</v>
      </c>
      <c r="J45" t="n">
        <v>187780</v>
      </c>
      <c r="K45" t="n">
        <v>58</v>
      </c>
      <c r="L45" t="n">
        <v>53128</v>
      </c>
      <c r="M45" t="n">
        <v>38</v>
      </c>
      <c r="N45" t="n">
        <v>34808</v>
      </c>
      <c r="O45" t="n">
        <v>275716</v>
      </c>
      <c r="P45" t="n">
        <v>72364</v>
      </c>
      <c r="Q45" s="2" t="n">
        <v>0.2078947368421053</v>
      </c>
      <c r="R45" t="n">
        <v>1.3</v>
      </c>
      <c r="S45" t="n">
        <v>1190.8</v>
      </c>
      <c r="T45" t="n">
        <v>39.69333333333334</v>
      </c>
      <c r="U45" t="n">
        <v>5</v>
      </c>
      <c r="V45" t="n">
        <v>160</v>
      </c>
      <c r="W45" t="n">
        <v>485</v>
      </c>
      <c r="X45" t="n">
        <v>549</v>
      </c>
    </row>
    <row r="46">
      <c r="A46" t="inlineStr">
        <is>
          <t>UPR045</t>
        </is>
      </c>
      <c r="B46" t="inlineStr">
        <is>
          <t>2023-05</t>
        </is>
      </c>
      <c r="C46" t="inlineStr">
        <is>
          <t>Bearings</t>
        </is>
      </c>
      <c r="D46" t="inlineStr">
        <is>
          <t>West</t>
        </is>
      </c>
      <c r="E46" t="n">
        <v>879</v>
      </c>
      <c r="F46" t="n">
        <v>914</v>
      </c>
      <c r="G46" t="n">
        <v>380</v>
      </c>
      <c r="H46" t="n">
        <v>334020</v>
      </c>
      <c r="I46" t="n">
        <v>205</v>
      </c>
      <c r="J46" t="n">
        <v>180195</v>
      </c>
      <c r="K46" t="n">
        <v>58</v>
      </c>
      <c r="L46" t="n">
        <v>50982</v>
      </c>
      <c r="M46" t="n">
        <v>38</v>
      </c>
      <c r="N46" t="n">
        <v>33402</v>
      </c>
      <c r="O46" t="n">
        <v>264579</v>
      </c>
      <c r="P46" t="n">
        <v>69441</v>
      </c>
      <c r="Q46" s="2" t="n">
        <v>0.2078947368421053</v>
      </c>
      <c r="R46" t="n">
        <v>1.3</v>
      </c>
      <c r="S46" t="n">
        <v>1142.7</v>
      </c>
      <c r="T46" t="n">
        <v>38.09</v>
      </c>
      <c r="U46" t="n">
        <v>5</v>
      </c>
      <c r="V46" t="n">
        <v>160</v>
      </c>
      <c r="W46" t="n">
        <v>485</v>
      </c>
      <c r="X46" t="n">
        <v>551</v>
      </c>
    </row>
    <row r="47">
      <c r="A47" t="inlineStr">
        <is>
          <t>UPR046</t>
        </is>
      </c>
      <c r="B47" t="inlineStr">
        <is>
          <t>2023-06</t>
        </is>
      </c>
      <c r="C47" t="inlineStr">
        <is>
          <t>Gears</t>
        </is>
      </c>
      <c r="D47" t="inlineStr">
        <is>
          <t>North</t>
        </is>
      </c>
      <c r="E47" t="n">
        <v>1215</v>
      </c>
      <c r="F47" t="n">
        <v>1264</v>
      </c>
      <c r="G47" t="n">
        <v>500</v>
      </c>
      <c r="H47" t="n">
        <v>607500</v>
      </c>
      <c r="I47" t="n">
        <v>260</v>
      </c>
      <c r="J47" t="n">
        <v>315900</v>
      </c>
      <c r="K47" t="n">
        <v>70</v>
      </c>
      <c r="L47" t="n">
        <v>85050</v>
      </c>
      <c r="M47" t="n">
        <v>45</v>
      </c>
      <c r="N47" t="n">
        <v>54675</v>
      </c>
      <c r="O47" t="n">
        <v>455625</v>
      </c>
      <c r="P47" t="n">
        <v>151875</v>
      </c>
      <c r="Q47" s="2" t="n">
        <v>0.25</v>
      </c>
      <c r="R47" t="n">
        <v>1.8</v>
      </c>
      <c r="S47" t="n">
        <v>2187</v>
      </c>
      <c r="T47" t="n">
        <v>72.90000000000001</v>
      </c>
      <c r="U47" t="n">
        <v>7</v>
      </c>
      <c r="V47" t="n">
        <v>220</v>
      </c>
      <c r="W47" t="n">
        <v>815</v>
      </c>
      <c r="X47" t="n">
        <v>849</v>
      </c>
    </row>
    <row r="48">
      <c r="A48" t="inlineStr">
        <is>
          <t>UPR047</t>
        </is>
      </c>
      <c r="B48" t="inlineStr">
        <is>
          <t>2023-06</t>
        </is>
      </c>
      <c r="C48" t="inlineStr">
        <is>
          <t>Gears</t>
        </is>
      </c>
      <c r="D48" t="inlineStr">
        <is>
          <t>South</t>
        </is>
      </c>
      <c r="E48" t="n">
        <v>1102</v>
      </c>
      <c r="F48" t="n">
        <v>1146</v>
      </c>
      <c r="G48" t="n">
        <v>500</v>
      </c>
      <c r="H48" t="n">
        <v>551000</v>
      </c>
      <c r="I48" t="n">
        <v>260</v>
      </c>
      <c r="J48" t="n">
        <v>286520</v>
      </c>
      <c r="K48" t="n">
        <v>70</v>
      </c>
      <c r="L48" t="n">
        <v>77140</v>
      </c>
      <c r="M48" t="n">
        <v>45</v>
      </c>
      <c r="N48" t="n">
        <v>49590</v>
      </c>
      <c r="O48" t="n">
        <v>413250</v>
      </c>
      <c r="P48" t="n">
        <v>137750</v>
      </c>
      <c r="Q48" s="2" t="n">
        <v>0.25</v>
      </c>
      <c r="R48" t="n">
        <v>1.8</v>
      </c>
      <c r="S48" t="n">
        <v>1983.6</v>
      </c>
      <c r="T48" t="n">
        <v>66.12</v>
      </c>
      <c r="U48" t="n">
        <v>7</v>
      </c>
      <c r="V48" t="n">
        <v>220</v>
      </c>
      <c r="W48" t="n">
        <v>815</v>
      </c>
      <c r="X48" t="n">
        <v>855</v>
      </c>
    </row>
    <row r="49">
      <c r="A49" t="inlineStr">
        <is>
          <t>UPR048</t>
        </is>
      </c>
      <c r="B49" t="inlineStr">
        <is>
          <t>2023-06</t>
        </is>
      </c>
      <c r="C49" t="inlineStr">
        <is>
          <t>Gears</t>
        </is>
      </c>
      <c r="D49" t="inlineStr">
        <is>
          <t>West</t>
        </is>
      </c>
      <c r="E49" t="n">
        <v>1058</v>
      </c>
      <c r="F49" t="n">
        <v>1100</v>
      </c>
      <c r="G49" t="n">
        <v>500</v>
      </c>
      <c r="H49" t="n">
        <v>529000</v>
      </c>
      <c r="I49" t="n">
        <v>260</v>
      </c>
      <c r="J49" t="n">
        <v>275080</v>
      </c>
      <c r="K49" t="n">
        <v>70</v>
      </c>
      <c r="L49" t="n">
        <v>74060</v>
      </c>
      <c r="M49" t="n">
        <v>45</v>
      </c>
      <c r="N49" t="n">
        <v>47610</v>
      </c>
      <c r="O49" t="n">
        <v>396750</v>
      </c>
      <c r="P49" t="n">
        <v>132250</v>
      </c>
      <c r="Q49" s="2" t="n">
        <v>0.25</v>
      </c>
      <c r="R49" t="n">
        <v>1.8</v>
      </c>
      <c r="S49" t="n">
        <v>1904.4</v>
      </c>
      <c r="T49" t="n">
        <v>63.48</v>
      </c>
      <c r="U49" t="n">
        <v>7</v>
      </c>
      <c r="V49" t="n">
        <v>220</v>
      </c>
      <c r="W49" t="n">
        <v>815</v>
      </c>
      <c r="X49" t="n">
        <v>858</v>
      </c>
    </row>
    <row r="50">
      <c r="A50" t="inlineStr">
        <is>
          <t>UPR049</t>
        </is>
      </c>
      <c r="B50" t="inlineStr">
        <is>
          <t>2023-06</t>
        </is>
      </c>
      <c r="C50" t="inlineStr">
        <is>
          <t>Shafts</t>
        </is>
      </c>
      <c r="D50" t="inlineStr">
        <is>
          <t>North</t>
        </is>
      </c>
      <c r="E50" t="n">
        <v>1094</v>
      </c>
      <c r="F50" t="n">
        <v>1138</v>
      </c>
      <c r="G50" t="n">
        <v>420</v>
      </c>
      <c r="H50" t="n">
        <v>459480</v>
      </c>
      <c r="I50" t="n">
        <v>225</v>
      </c>
      <c r="J50" t="n">
        <v>246150</v>
      </c>
      <c r="K50" t="n">
        <v>62</v>
      </c>
      <c r="L50" t="n">
        <v>67828</v>
      </c>
      <c r="M50" t="n">
        <v>40</v>
      </c>
      <c r="N50" t="n">
        <v>43760</v>
      </c>
      <c r="O50" t="n">
        <v>357738</v>
      </c>
      <c r="P50" t="n">
        <v>101742</v>
      </c>
      <c r="Q50" s="2" t="n">
        <v>0.2214285714285714</v>
      </c>
      <c r="R50" t="n">
        <v>1.5</v>
      </c>
      <c r="S50" t="n">
        <v>1641</v>
      </c>
      <c r="T50" t="n">
        <v>54.7</v>
      </c>
      <c r="U50" t="n">
        <v>6</v>
      </c>
      <c r="V50" t="n">
        <v>180</v>
      </c>
      <c r="W50" t="n">
        <v>612</v>
      </c>
      <c r="X50" t="n">
        <v>663</v>
      </c>
    </row>
    <row r="51">
      <c r="A51" t="inlineStr">
        <is>
          <t>UPR050</t>
        </is>
      </c>
      <c r="B51" t="inlineStr">
        <is>
          <t>2023-06</t>
        </is>
      </c>
      <c r="C51" t="inlineStr">
        <is>
          <t>Shafts</t>
        </is>
      </c>
      <c r="D51" t="inlineStr">
        <is>
          <t>South</t>
        </is>
      </c>
      <c r="E51" t="n">
        <v>992</v>
      </c>
      <c r="F51" t="n">
        <v>1032</v>
      </c>
      <c r="G51" t="n">
        <v>420</v>
      </c>
      <c r="H51" t="n">
        <v>416640</v>
      </c>
      <c r="I51" t="n">
        <v>225</v>
      </c>
      <c r="J51" t="n">
        <v>223200</v>
      </c>
      <c r="K51" t="n">
        <v>62</v>
      </c>
      <c r="L51" t="n">
        <v>61504</v>
      </c>
      <c r="M51" t="n">
        <v>40</v>
      </c>
      <c r="N51" t="n">
        <v>39680</v>
      </c>
      <c r="O51" t="n">
        <v>324384</v>
      </c>
      <c r="P51" t="n">
        <v>92256</v>
      </c>
      <c r="Q51" s="2" t="n">
        <v>0.2214285714285714</v>
      </c>
      <c r="R51" t="n">
        <v>1.5</v>
      </c>
      <c r="S51" t="n">
        <v>1488</v>
      </c>
      <c r="T51" t="n">
        <v>49.6</v>
      </c>
      <c r="U51" t="n">
        <v>6</v>
      </c>
      <c r="V51" t="n">
        <v>180</v>
      </c>
      <c r="W51" t="n">
        <v>612</v>
      </c>
      <c r="X51" t="n">
        <v>667</v>
      </c>
    </row>
    <row r="52">
      <c r="A52" t="inlineStr">
        <is>
          <t>UPR051</t>
        </is>
      </c>
      <c r="B52" t="inlineStr">
        <is>
          <t>2023-06</t>
        </is>
      </c>
      <c r="C52" t="inlineStr">
        <is>
          <t>Shafts</t>
        </is>
      </c>
      <c r="D52" t="inlineStr">
        <is>
          <t>West</t>
        </is>
      </c>
      <c r="E52" t="n">
        <v>952</v>
      </c>
      <c r="F52" t="n">
        <v>990</v>
      </c>
      <c r="G52" t="n">
        <v>420</v>
      </c>
      <c r="H52" t="n">
        <v>399840</v>
      </c>
      <c r="I52" t="n">
        <v>225</v>
      </c>
      <c r="J52" t="n">
        <v>214200</v>
      </c>
      <c r="K52" t="n">
        <v>62</v>
      </c>
      <c r="L52" t="n">
        <v>59024</v>
      </c>
      <c r="M52" t="n">
        <v>40</v>
      </c>
      <c r="N52" t="n">
        <v>38080</v>
      </c>
      <c r="O52" t="n">
        <v>311304</v>
      </c>
      <c r="P52" t="n">
        <v>88536</v>
      </c>
      <c r="Q52" s="2" t="n">
        <v>0.2214285714285714</v>
      </c>
      <c r="R52" t="n">
        <v>1.5</v>
      </c>
      <c r="S52" t="n">
        <v>1428</v>
      </c>
      <c r="T52" t="n">
        <v>47.6</v>
      </c>
      <c r="U52" t="n">
        <v>6</v>
      </c>
      <c r="V52" t="n">
        <v>180</v>
      </c>
      <c r="W52" t="n">
        <v>612</v>
      </c>
      <c r="X52" t="n">
        <v>669</v>
      </c>
    </row>
    <row r="53">
      <c r="A53" t="inlineStr">
        <is>
          <t>UPR052</t>
        </is>
      </c>
      <c r="B53" t="inlineStr">
        <is>
          <t>2023-06</t>
        </is>
      </c>
      <c r="C53" t="inlineStr">
        <is>
          <t>Bearings</t>
        </is>
      </c>
      <c r="D53" t="inlineStr">
        <is>
          <t>North</t>
        </is>
      </c>
      <c r="E53" t="n">
        <v>1033</v>
      </c>
      <c r="F53" t="n">
        <v>1074</v>
      </c>
      <c r="G53" t="n">
        <v>380</v>
      </c>
      <c r="H53" t="n">
        <v>392540</v>
      </c>
      <c r="I53" t="n">
        <v>205</v>
      </c>
      <c r="J53" t="n">
        <v>211765</v>
      </c>
      <c r="K53" t="n">
        <v>58</v>
      </c>
      <c r="L53" t="n">
        <v>59914</v>
      </c>
      <c r="M53" t="n">
        <v>38</v>
      </c>
      <c r="N53" t="n">
        <v>39254</v>
      </c>
      <c r="O53" t="n">
        <v>310933</v>
      </c>
      <c r="P53" t="n">
        <v>81607</v>
      </c>
      <c r="Q53" s="2" t="n">
        <v>0.2078947368421053</v>
      </c>
      <c r="R53" t="n">
        <v>1.3</v>
      </c>
      <c r="S53" t="n">
        <v>1342.9</v>
      </c>
      <c r="T53" t="n">
        <v>44.76333333333334</v>
      </c>
      <c r="U53" t="n">
        <v>5</v>
      </c>
      <c r="V53" t="n">
        <v>160</v>
      </c>
      <c r="W53" t="n">
        <v>485</v>
      </c>
      <c r="X53" t="n">
        <v>545</v>
      </c>
    </row>
    <row r="54">
      <c r="A54" t="inlineStr">
        <is>
          <t>UPR053</t>
        </is>
      </c>
      <c r="B54" t="inlineStr">
        <is>
          <t>2023-06</t>
        </is>
      </c>
      <c r="C54" t="inlineStr">
        <is>
          <t>Bearings</t>
        </is>
      </c>
      <c r="D54" t="inlineStr">
        <is>
          <t>South</t>
        </is>
      </c>
      <c r="E54" t="n">
        <v>937</v>
      </c>
      <c r="F54" t="n">
        <v>974</v>
      </c>
      <c r="G54" t="n">
        <v>380</v>
      </c>
      <c r="H54" t="n">
        <v>356060</v>
      </c>
      <c r="I54" t="n">
        <v>205</v>
      </c>
      <c r="J54" t="n">
        <v>192085</v>
      </c>
      <c r="K54" t="n">
        <v>58</v>
      </c>
      <c r="L54" t="n">
        <v>54346</v>
      </c>
      <c r="M54" t="n">
        <v>38</v>
      </c>
      <c r="N54" t="n">
        <v>35606</v>
      </c>
      <c r="O54" t="n">
        <v>282037</v>
      </c>
      <c r="P54" t="n">
        <v>74023</v>
      </c>
      <c r="Q54" s="2" t="n">
        <v>0.2078947368421053</v>
      </c>
      <c r="R54" t="n">
        <v>1.3</v>
      </c>
      <c r="S54" t="n">
        <v>1218.1</v>
      </c>
      <c r="T54" t="n">
        <v>40.60333333333334</v>
      </c>
      <c r="U54" t="n">
        <v>5</v>
      </c>
      <c r="V54" t="n">
        <v>160</v>
      </c>
      <c r="W54" t="n">
        <v>485</v>
      </c>
      <c r="X54" t="n">
        <v>548</v>
      </c>
    </row>
    <row r="55">
      <c r="A55" t="inlineStr">
        <is>
          <t>UPR054</t>
        </is>
      </c>
      <c r="B55" t="inlineStr">
        <is>
          <t>2023-06</t>
        </is>
      </c>
      <c r="C55" t="inlineStr">
        <is>
          <t>Bearings</t>
        </is>
      </c>
      <c r="D55" t="inlineStr">
        <is>
          <t>West</t>
        </is>
      </c>
      <c r="E55" t="n">
        <v>899</v>
      </c>
      <c r="F55" t="n">
        <v>935</v>
      </c>
      <c r="G55" t="n">
        <v>380</v>
      </c>
      <c r="H55" t="n">
        <v>341620</v>
      </c>
      <c r="I55" t="n">
        <v>205</v>
      </c>
      <c r="J55" t="n">
        <v>184295</v>
      </c>
      <c r="K55" t="n">
        <v>58</v>
      </c>
      <c r="L55" t="n">
        <v>52142</v>
      </c>
      <c r="M55" t="n">
        <v>38</v>
      </c>
      <c r="N55" t="n">
        <v>34162</v>
      </c>
      <c r="O55" t="n">
        <v>270599</v>
      </c>
      <c r="P55" t="n">
        <v>71021</v>
      </c>
      <c r="Q55" s="2" t="n">
        <v>0.2078947368421053</v>
      </c>
      <c r="R55" t="n">
        <v>1.3</v>
      </c>
      <c r="S55" t="n">
        <v>1168.7</v>
      </c>
      <c r="T55" t="n">
        <v>38.95666666666667</v>
      </c>
      <c r="U55" t="n">
        <v>5</v>
      </c>
      <c r="V55" t="n">
        <v>160</v>
      </c>
      <c r="W55" t="n">
        <v>485</v>
      </c>
      <c r="X55" t="n">
        <v>550</v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5" customWidth="1" min="4" max="4"/>
    <col width="13" customWidth="1" min="5" max="5"/>
    <col width="15" customWidth="1" min="6" max="6"/>
    <col width="12" customWidth="1" min="7" max="7"/>
    <col width="14" customWidth="1" min="8" max="8"/>
    <col width="14" customWidth="1" min="9" max="9"/>
    <col width="12" customWidth="1" min="10" max="10"/>
    <col width="13" customWidth="1" min="11" max="11"/>
    <col width="21" customWidth="1" min="12" max="12"/>
  </cols>
  <sheetData>
    <row r="1">
      <c r="A1" s="1" t="inlineStr">
        <is>
          <t>Product</t>
        </is>
      </c>
      <c r="B1" s="1" t="inlineStr">
        <is>
          <t>Sales_Units</t>
        </is>
      </c>
      <c r="C1" s="1" t="inlineStr">
        <is>
          <t>Revenue</t>
        </is>
      </c>
      <c r="D1" s="1" t="inlineStr">
        <is>
          <t>Material_Cost</t>
        </is>
      </c>
      <c r="E1" s="1" t="inlineStr">
        <is>
          <t>Labour_Cost</t>
        </is>
      </c>
      <c r="F1" s="1" t="inlineStr">
        <is>
          <t>Overhead_Cost</t>
        </is>
      </c>
      <c r="G1" s="1" t="inlineStr">
        <is>
          <t>Total_Cost</t>
        </is>
      </c>
      <c r="H1" s="1" t="inlineStr">
        <is>
          <t>Gross_Profit</t>
        </is>
      </c>
      <c r="I1" s="1" t="inlineStr">
        <is>
          <t>Unit_Revenue</t>
        </is>
      </c>
      <c r="J1" s="1" t="inlineStr">
        <is>
          <t>Unit_Cost</t>
        </is>
      </c>
      <c r="K1" s="1" t="inlineStr">
        <is>
          <t>Unit_Profit</t>
        </is>
      </c>
      <c r="L1" s="1" t="inlineStr">
        <is>
          <t>Margin_%</t>
        </is>
      </c>
    </row>
    <row r="2">
      <c r="A2" t="inlineStr">
        <is>
          <t>Bearings</t>
        </is>
      </c>
      <c r="B2" t="n">
        <v>16257</v>
      </c>
      <c r="C2" t="n">
        <v>6177660</v>
      </c>
      <c r="D2" t="n">
        <v>3332685</v>
      </c>
      <c r="E2" t="n">
        <v>942906</v>
      </c>
      <c r="F2" t="n">
        <v>617766</v>
      </c>
      <c r="G2" t="n">
        <v>4893357</v>
      </c>
      <c r="H2" t="n">
        <v>1284303</v>
      </c>
      <c r="I2" t="n">
        <v>380</v>
      </c>
      <c r="J2" s="2" t="n">
        <v>301</v>
      </c>
      <c r="K2" t="n">
        <v>79</v>
      </c>
      <c r="L2" t="n">
        <v>0.2078947368421053</v>
      </c>
    </row>
    <row r="3">
      <c r="A3" t="inlineStr">
        <is>
          <t>Gears</t>
        </is>
      </c>
      <c r="B3" t="n">
        <v>19124</v>
      </c>
      <c r="C3" t="n">
        <v>9562000</v>
      </c>
      <c r="D3" t="n">
        <v>4972240</v>
      </c>
      <c r="E3" t="n">
        <v>1338680</v>
      </c>
      <c r="F3" t="n">
        <v>860580</v>
      </c>
      <c r="G3" t="n">
        <v>7171500</v>
      </c>
      <c r="H3" t="n">
        <v>2390500</v>
      </c>
      <c r="I3" t="n">
        <v>500</v>
      </c>
      <c r="J3" s="2" t="n">
        <v>375</v>
      </c>
      <c r="K3" t="n">
        <v>125</v>
      </c>
      <c r="L3" t="n">
        <v>0.25</v>
      </c>
    </row>
    <row r="4">
      <c r="A4" t="inlineStr">
        <is>
          <t>Shafts</t>
        </is>
      </c>
      <c r="B4" t="n">
        <v>17212</v>
      </c>
      <c r="C4" t="n">
        <v>7229040</v>
      </c>
      <c r="D4" t="n">
        <v>3872700</v>
      </c>
      <c r="E4" t="n">
        <v>1067144</v>
      </c>
      <c r="F4" t="n">
        <v>688480</v>
      </c>
      <c r="G4" t="n">
        <v>5628324</v>
      </c>
      <c r="H4" t="n">
        <v>1600716</v>
      </c>
      <c r="I4" t="n">
        <v>420</v>
      </c>
      <c r="J4" s="2" t="n">
        <v>327</v>
      </c>
      <c r="K4" t="n">
        <v>93</v>
      </c>
      <c r="L4" t="n">
        <v>0.2214285714285714</v>
      </c>
    </row>
  </sheetData>
  <autoFilter ref="A1:L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6" customWidth="1" min="3" max="3"/>
    <col width="14" customWidth="1" min="4" max="4"/>
    <col width="15" customWidth="1" min="5" max="5"/>
    <col width="24" customWidth="1" min="6" max="6"/>
    <col width="19" customWidth="1" min="7" max="7"/>
    <col width="16" customWidth="1" min="8" max="8"/>
  </cols>
  <sheetData>
    <row r="1">
      <c r="A1" s="1" t="inlineStr">
        <is>
          <t>Product</t>
        </is>
      </c>
      <c r="B1" s="1" t="inlineStr">
        <is>
          <t>Avg_Daily_Usage</t>
        </is>
      </c>
      <c r="C1" s="1" t="inlineStr">
        <is>
          <t>Lead_Time_Days</t>
        </is>
      </c>
      <c r="D1" s="1" t="inlineStr">
        <is>
          <t>Safety_Stock</t>
        </is>
      </c>
      <c r="E1" s="1" t="inlineStr">
        <is>
          <t>Reorder_Point</t>
        </is>
      </c>
      <c r="F1" s="1" t="inlineStr">
        <is>
          <t>Closing_Material_Stock</t>
        </is>
      </c>
      <c r="G1" s="1" t="inlineStr">
        <is>
          <t>Lead_Time_Demand</t>
        </is>
      </c>
      <c r="H1" s="1" t="inlineStr">
        <is>
          <t>Reorder_Status</t>
        </is>
      </c>
    </row>
    <row r="2">
      <c r="A2" t="inlineStr">
        <is>
          <t>Bearings</t>
        </is>
      </c>
      <c r="B2" t="n">
        <v>39.13722222222222</v>
      </c>
      <c r="C2" t="n">
        <v>5</v>
      </c>
      <c r="D2" t="n">
        <v>160</v>
      </c>
      <c r="E2" t="n">
        <v>485</v>
      </c>
      <c r="F2" t="n">
        <v>549.7777777777778</v>
      </c>
      <c r="G2" t="n">
        <v>195.6861111111111</v>
      </c>
      <c r="H2" t="inlineStr">
        <is>
          <t>Monitor</t>
        </is>
      </c>
    </row>
    <row r="3">
      <c r="A3" t="inlineStr">
        <is>
          <t>Gears</t>
        </is>
      </c>
      <c r="B3" t="n">
        <v>63.74666666666667</v>
      </c>
      <c r="C3" t="n">
        <v>7</v>
      </c>
      <c r="D3" t="n">
        <v>220</v>
      </c>
      <c r="E3" t="n">
        <v>815</v>
      </c>
      <c r="F3" t="n">
        <v>857.5555555555555</v>
      </c>
      <c r="G3" t="n">
        <v>446.2266666666667</v>
      </c>
      <c r="H3" t="inlineStr">
        <is>
          <t>Monitor</t>
        </is>
      </c>
    </row>
    <row r="4">
      <c r="A4" t="inlineStr">
        <is>
          <t>Shafts</t>
        </is>
      </c>
      <c r="B4" t="n">
        <v>47.81111111111111</v>
      </c>
      <c r="C4" t="n">
        <v>6</v>
      </c>
      <c r="D4" t="n">
        <v>180</v>
      </c>
      <c r="E4" t="n">
        <v>612</v>
      </c>
      <c r="F4" t="n">
        <v>668.8333333333334</v>
      </c>
      <c r="G4" t="n">
        <v>286.8666666666667</v>
      </c>
      <c r="H4" t="inlineStr">
        <is>
          <t>Monitor</t>
        </is>
      </c>
    </row>
  </sheetData>
  <autoFilter ref="A1:H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20" customWidth="1" min="6" max="6"/>
    <col width="21" customWidth="1" min="7" max="7"/>
  </cols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Total_Cost</t>
        </is>
      </c>
      <c r="D1" s="1" t="inlineStr">
        <is>
          <t>Gross_Profit</t>
        </is>
      </c>
      <c r="E1" s="1" t="inlineStr">
        <is>
          <t>Sales_Units</t>
        </is>
      </c>
      <c r="F1" s="1" t="inlineStr">
        <is>
          <t>Material_Demand</t>
        </is>
      </c>
      <c r="G1" s="1" t="inlineStr">
        <is>
          <t>Margin_%</t>
        </is>
      </c>
    </row>
    <row r="2">
      <c r="A2" t="inlineStr">
        <is>
          <t>2023-01</t>
        </is>
      </c>
      <c r="B2" t="n">
        <v>3603000</v>
      </c>
      <c r="C2" t="n">
        <v>2775450</v>
      </c>
      <c r="D2" t="n">
        <v>827550</v>
      </c>
      <c r="E2" t="n">
        <v>8250</v>
      </c>
      <c r="F2" t="n">
        <v>12765</v>
      </c>
      <c r="G2" s="2" t="n">
        <v>0.2296835970024979</v>
      </c>
    </row>
    <row r="3">
      <c r="A3" t="inlineStr">
        <is>
          <t>2023-02</t>
        </is>
      </c>
      <c r="B3" t="n">
        <v>3692460</v>
      </c>
      <c r="C3" t="n">
        <v>2844373</v>
      </c>
      <c r="D3" t="n">
        <v>848087</v>
      </c>
      <c r="E3" t="n">
        <v>8455</v>
      </c>
      <c r="F3" t="n">
        <v>13081.9</v>
      </c>
      <c r="G3" s="2" t="n">
        <v>0.2296807548355297</v>
      </c>
    </row>
    <row r="4">
      <c r="A4" t="inlineStr">
        <is>
          <t>2023-03</t>
        </is>
      </c>
      <c r="B4" t="n">
        <v>3783340</v>
      </c>
      <c r="C4" t="n">
        <v>2914373</v>
      </c>
      <c r="D4" t="n">
        <v>868967</v>
      </c>
      <c r="E4" t="n">
        <v>8663</v>
      </c>
      <c r="F4" t="n">
        <v>13403.9</v>
      </c>
      <c r="G4" s="2" t="n">
        <v>0.2296825027621097</v>
      </c>
    </row>
    <row r="5">
      <c r="A5" t="inlineStr">
        <is>
          <t>2023-04</t>
        </is>
      </c>
      <c r="B5" t="n">
        <v>3872920</v>
      </c>
      <c r="C5" t="n">
        <v>2983370</v>
      </c>
      <c r="D5" t="n">
        <v>889550</v>
      </c>
      <c r="E5" t="n">
        <v>8868</v>
      </c>
      <c r="F5" t="n">
        <v>13721.3</v>
      </c>
      <c r="G5" s="2" t="n">
        <v>0.2296845790772853</v>
      </c>
    </row>
    <row r="6">
      <c r="A6" t="inlineStr">
        <is>
          <t>2023-05</t>
        </is>
      </c>
      <c r="B6" t="n">
        <v>3963300</v>
      </c>
      <c r="C6" t="n">
        <v>3052995</v>
      </c>
      <c r="D6" t="n">
        <v>910305</v>
      </c>
      <c r="E6" t="n">
        <v>9075</v>
      </c>
      <c r="F6" t="n">
        <v>14041.5</v>
      </c>
      <c r="G6" s="2" t="n">
        <v>0.2296835970024979</v>
      </c>
    </row>
    <row r="7">
      <c r="A7" t="inlineStr">
        <is>
          <t>2023-06</t>
        </is>
      </c>
      <c r="B7" t="n">
        <v>4053680</v>
      </c>
      <c r="C7" t="n">
        <v>3122620</v>
      </c>
      <c r="D7" t="n">
        <v>931060</v>
      </c>
      <c r="E7" t="n">
        <v>9282</v>
      </c>
      <c r="F7" t="n">
        <v>14361.7</v>
      </c>
      <c r="G7" s="2" t="n">
        <v>0.2296826587199779</v>
      </c>
    </row>
  </sheetData>
  <autoFilter ref="A1:G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3" customWidth="1" min="5" max="5"/>
    <col width="21" customWidth="1" min="6" max="6"/>
  </cols>
  <sheetData>
    <row r="1">
      <c r="A1" s="1" t="inlineStr">
        <is>
          <t>Region</t>
        </is>
      </c>
      <c r="B1" s="1" t="inlineStr">
        <is>
          <t>Revenue</t>
        </is>
      </c>
      <c r="C1" s="1" t="inlineStr">
        <is>
          <t>Total_Cost</t>
        </is>
      </c>
      <c r="D1" s="1" t="inlineStr">
        <is>
          <t>Gross_Profit</t>
        </is>
      </c>
      <c r="E1" s="1" t="inlineStr">
        <is>
          <t>Sales_Units</t>
        </is>
      </c>
      <c r="F1" s="1" t="inlineStr">
        <is>
          <t>Margin_%</t>
        </is>
      </c>
    </row>
    <row r="2">
      <c r="A2" t="inlineStr">
        <is>
          <t>North</t>
        </is>
      </c>
      <c r="B2" t="n">
        <v>8269380</v>
      </c>
      <c r="C2" t="n">
        <v>6370047</v>
      </c>
      <c r="D2" t="n">
        <v>1899333</v>
      </c>
      <c r="E2" t="n">
        <v>18935</v>
      </c>
      <c r="F2" s="2" t="n">
        <v>0.2296826364249799</v>
      </c>
    </row>
    <row r="3">
      <c r="A3" t="inlineStr">
        <is>
          <t>South</t>
        </is>
      </c>
      <c r="B3" t="n">
        <v>7502540</v>
      </c>
      <c r="C3" t="n">
        <v>5779329</v>
      </c>
      <c r="D3" t="n">
        <v>1723211</v>
      </c>
      <c r="E3" t="n">
        <v>17179</v>
      </c>
      <c r="F3" s="2" t="n">
        <v>0.2296836804602175</v>
      </c>
    </row>
    <row r="4">
      <c r="A4" t="inlineStr">
        <is>
          <t>West</t>
        </is>
      </c>
      <c r="B4" t="n">
        <v>7196780</v>
      </c>
      <c r="C4" t="n">
        <v>5543805</v>
      </c>
      <c r="D4" t="n">
        <v>1652975</v>
      </c>
      <c r="E4" t="n">
        <v>16479</v>
      </c>
      <c r="F4" s="2" t="n">
        <v>0.229682580265063</v>
      </c>
    </row>
  </sheetData>
  <autoFilter ref="A1:F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19" customWidth="1" min="3" max="3"/>
    <col width="15" customWidth="1" min="4" max="4"/>
    <col width="20" customWidth="1" min="5" max="5"/>
  </cols>
  <sheetData>
    <row r="1">
      <c r="A1" s="1" t="inlineStr">
        <is>
          <t>Product</t>
        </is>
      </c>
      <c r="B1" s="1" t="inlineStr">
        <is>
          <t>Material_Demand</t>
        </is>
      </c>
      <c r="C1" s="1" t="inlineStr">
        <is>
          <t>Closing_Stock</t>
        </is>
      </c>
      <c r="D1" s="1" t="inlineStr">
        <is>
          <t>Reorder_Point</t>
        </is>
      </c>
      <c r="E1" s="1" t="inlineStr">
        <is>
          <t>Stock_Cover_Ratio</t>
        </is>
      </c>
    </row>
    <row r="2">
      <c r="A2" t="inlineStr">
        <is>
          <t>Bearings</t>
        </is>
      </c>
      <c r="B2" t="n">
        <v>21134.1</v>
      </c>
      <c r="C2" t="n">
        <v>549.7777777777778</v>
      </c>
      <c r="D2" t="n">
        <v>485</v>
      </c>
      <c r="E2" t="n">
        <v>1.133562428407789</v>
      </c>
    </row>
    <row r="3">
      <c r="A3" t="inlineStr">
        <is>
          <t>Gears</t>
        </is>
      </c>
      <c r="B3" t="n">
        <v>34423.2</v>
      </c>
      <c r="C3" t="n">
        <v>857.5555555555555</v>
      </c>
      <c r="D3" t="n">
        <v>815</v>
      </c>
      <c r="E3" t="n">
        <v>1.052215405589639</v>
      </c>
    </row>
    <row r="4">
      <c r="A4" t="inlineStr">
        <is>
          <t>Shafts</t>
        </is>
      </c>
      <c r="B4" t="n">
        <v>25818</v>
      </c>
      <c r="C4" t="n">
        <v>668.8333333333334</v>
      </c>
      <c r="D4" t="n">
        <v>612</v>
      </c>
      <c r="E4" t="n">
        <v>1.092864923747277</v>
      </c>
    </row>
  </sheetData>
  <autoFilter ref="A1:E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8" customWidth="1" min="2" max="2"/>
    <col width="33" customWidth="1" min="3" max="3"/>
  </cols>
  <sheetData>
    <row r="1">
      <c r="A1" s="1" t="inlineStr">
        <is>
          <t>Metric</t>
        </is>
      </c>
      <c r="B1" s="1" t="inlineStr">
        <is>
          <t>Formula</t>
        </is>
      </c>
      <c r="C1" s="1" t="inlineStr">
        <is>
          <t>Meaning</t>
        </is>
      </c>
    </row>
    <row r="2">
      <c r="A2" t="inlineStr">
        <is>
          <t>Revenue</t>
        </is>
      </c>
      <c r="B2" t="inlineStr">
        <is>
          <t>Sales Units × Selling Price per Unit</t>
        </is>
      </c>
      <c r="C2" t="inlineStr">
        <is>
          <t>Sales value</t>
        </is>
      </c>
    </row>
    <row r="3">
      <c r="A3" t="inlineStr">
        <is>
          <t>Material Cost</t>
        </is>
      </c>
      <c r="B3" t="inlineStr">
        <is>
          <t>Sales Units × Material Cost per Unit</t>
        </is>
      </c>
      <c r="C3" t="inlineStr">
        <is>
          <t>Material expenditure</t>
        </is>
      </c>
    </row>
    <row r="4">
      <c r="A4" t="inlineStr">
        <is>
          <t>Labour Cost</t>
        </is>
      </c>
      <c r="B4" t="inlineStr">
        <is>
          <t>Sales Units × Labour Cost per Unit</t>
        </is>
      </c>
      <c r="C4" t="inlineStr">
        <is>
          <t>Labour expenditure</t>
        </is>
      </c>
    </row>
    <row r="5">
      <c r="A5" t="inlineStr">
        <is>
          <t>Overhead Cost</t>
        </is>
      </c>
      <c r="B5" t="inlineStr">
        <is>
          <t>Sales Units × Overhead per Unit</t>
        </is>
      </c>
      <c r="C5" t="inlineStr">
        <is>
          <t>Operating overhead</t>
        </is>
      </c>
    </row>
    <row r="6">
      <c r="A6" t="inlineStr">
        <is>
          <t>Total Cost</t>
        </is>
      </c>
      <c r="B6" t="inlineStr">
        <is>
          <t>Material + Labour + Overhead</t>
        </is>
      </c>
      <c r="C6" t="inlineStr">
        <is>
          <t>Total cost</t>
        </is>
      </c>
    </row>
    <row r="7">
      <c r="A7" t="inlineStr">
        <is>
          <t>Gross Profit</t>
        </is>
      </c>
      <c r="B7" t="inlineStr">
        <is>
          <t>Revenue − Total Cost</t>
        </is>
      </c>
      <c r="C7" t="inlineStr">
        <is>
          <t>Profit before other items</t>
        </is>
      </c>
    </row>
    <row r="8">
      <c r="A8" t="inlineStr">
        <is>
          <t>Unit Profit</t>
        </is>
      </c>
      <c r="B8" t="inlineStr">
        <is>
          <t>Gross Profit / Sales Units</t>
        </is>
      </c>
      <c r="C8" t="inlineStr">
        <is>
          <t>Profit per unit</t>
        </is>
      </c>
    </row>
    <row r="9">
      <c r="A9" t="inlineStr">
        <is>
          <t>Unit Margin</t>
        </is>
      </c>
      <c r="B9" t="inlineStr">
        <is>
          <t>Gross Profit / Revenue</t>
        </is>
      </c>
      <c r="C9" t="inlineStr">
        <is>
          <t>Profit percentage</t>
        </is>
      </c>
    </row>
    <row r="10">
      <c r="A10" t="inlineStr">
        <is>
          <t>Lead-Time Demand</t>
        </is>
      </c>
      <c r="B10" t="inlineStr">
        <is>
          <t>Average Daily Usage × Lead Time</t>
        </is>
      </c>
      <c r="C10" t="inlineStr">
        <is>
          <t>Expected usage during lead time</t>
        </is>
      </c>
    </row>
    <row r="11">
      <c r="A11" t="inlineStr">
        <is>
          <t>Reorder Point</t>
        </is>
      </c>
      <c r="B11" t="inlineStr">
        <is>
          <t>Lead-Time Demand + Safety Stock</t>
        </is>
      </c>
      <c r="C11" t="inlineStr">
        <is>
          <t>Reorder trigger level</t>
        </is>
      </c>
    </row>
    <row r="12">
      <c r="A12" t="inlineStr">
        <is>
          <t>Reorder Status</t>
        </is>
      </c>
      <c r="B12" t="inlineStr">
        <is>
          <t>Closing Stock ≤ Reorder Point</t>
        </is>
      </c>
      <c r="C12" t="inlineStr">
        <is>
          <t>Simple planning status</t>
        </is>
      </c>
    </row>
  </sheetData>
  <autoFilter ref="A1:C1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8" customWidth="1" min="2" max="2"/>
    <col width="38" customWidth="1" min="3" max="3"/>
  </cols>
  <sheetData>
    <row r="1">
      <c r="A1" s="1" t="inlineStr">
        <is>
          <t>Question_ID</t>
        </is>
      </c>
      <c r="B1" s="1" t="inlineStr">
        <is>
          <t>Question</t>
        </is>
      </c>
      <c r="C1" s="1" t="inlineStr">
        <is>
          <t>Method</t>
        </is>
      </c>
    </row>
    <row r="2">
      <c r="A2" t="inlineStr">
        <is>
          <t>Q1</t>
        </is>
      </c>
      <c r="B2" t="inlineStr">
        <is>
          <t>What is unit-level profitability?</t>
        </is>
      </c>
      <c r="C2" t="inlineStr">
        <is>
          <t>Use revenue, cost and unit profit.</t>
        </is>
      </c>
    </row>
    <row r="3">
      <c r="A3" t="inlineStr">
        <is>
          <t>Q2</t>
        </is>
      </c>
      <c r="B3" t="inlineStr">
        <is>
          <t>How is gross profit calculated?</t>
        </is>
      </c>
      <c r="C3" t="inlineStr">
        <is>
          <t>Revenue minus total cost.</t>
        </is>
      </c>
    </row>
    <row r="4">
      <c r="A4" t="inlineStr">
        <is>
          <t>Q3</t>
        </is>
      </c>
      <c r="B4" t="inlineStr">
        <is>
          <t>How is unit margin calculated?</t>
        </is>
      </c>
      <c r="C4" t="inlineStr">
        <is>
          <t>Gross profit divided by revenue.</t>
        </is>
      </c>
    </row>
    <row r="5">
      <c r="A5" t="inlineStr">
        <is>
          <t>Q4</t>
        </is>
      </c>
      <c r="B5" t="inlineStr">
        <is>
          <t>Which product has the highest unit profit?</t>
        </is>
      </c>
      <c r="C5" t="inlineStr">
        <is>
          <t>Use Unit_Profitability.</t>
        </is>
      </c>
    </row>
    <row r="6">
      <c r="A6" t="inlineStr">
        <is>
          <t>Q5</t>
        </is>
      </c>
      <c r="B6" t="inlineStr">
        <is>
          <t>Which product has the highest margin?</t>
        </is>
      </c>
      <c r="C6" t="inlineStr">
        <is>
          <t>Use Unit_Profitability.</t>
        </is>
      </c>
    </row>
    <row r="7">
      <c r="A7" t="inlineStr">
        <is>
          <t>Q6</t>
        </is>
      </c>
      <c r="B7" t="inlineStr">
        <is>
          <t>What is lead-time demand?</t>
        </is>
      </c>
      <c r="C7" t="inlineStr">
        <is>
          <t>Average daily usage × lead time.</t>
        </is>
      </c>
    </row>
    <row r="8">
      <c r="A8" t="inlineStr">
        <is>
          <t>Q7</t>
        </is>
      </c>
      <c r="B8" t="inlineStr">
        <is>
          <t>What is reorder point?</t>
        </is>
      </c>
      <c r="C8" t="inlineStr">
        <is>
          <t>Lead-time demand + safety stock.</t>
        </is>
      </c>
    </row>
    <row r="9">
      <c r="A9" t="inlineStr">
        <is>
          <t>Q8</t>
        </is>
      </c>
      <c r="B9" t="inlineStr">
        <is>
          <t>Which product has the highest reorder point?</t>
        </is>
      </c>
      <c r="C9" t="inlineStr">
        <is>
          <t>Use Material_Reorder_Analysis.</t>
        </is>
      </c>
    </row>
    <row r="10">
      <c r="A10" t="inlineStr">
        <is>
          <t>Q9</t>
        </is>
      </c>
      <c r="B10" t="inlineStr">
        <is>
          <t>What triggers Reorder Now?</t>
        </is>
      </c>
      <c r="C10" t="inlineStr">
        <is>
          <t>Closing stock at or below reorder point.</t>
        </is>
      </c>
    </row>
    <row r="11">
      <c r="A11" t="inlineStr">
        <is>
          <t>Q10</t>
        </is>
      </c>
      <c r="B11" t="inlineStr">
        <is>
          <t>Write three evidence-based insights.</t>
        </is>
      </c>
      <c r="C11" t="inlineStr">
        <is>
          <t>Use summary sheets.</t>
        </is>
      </c>
    </row>
  </sheetData>
  <autoFilter ref="A1:C1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38" customWidth="1" min="2" max="2"/>
    <col width="27" customWidth="1" min="3" max="3"/>
  </cols>
  <sheetData>
    <row r="1">
      <c r="A1" s="1" t="inlineStr">
        <is>
          <t>Area</t>
        </is>
      </c>
      <c r="B1" s="1" t="inlineStr">
        <is>
          <t>Observation</t>
        </is>
      </c>
      <c r="C1" s="1" t="inlineStr">
        <is>
          <t>Evidence_Sheet</t>
        </is>
      </c>
    </row>
    <row r="2">
      <c r="A2" t="inlineStr">
        <is>
          <t>Profitability</t>
        </is>
      </c>
      <c r="B2" t="inlineStr">
        <is>
          <t>Compare revenue, total cost, gross profit and margin by product.</t>
        </is>
      </c>
      <c r="C2" t="inlineStr">
        <is>
          <t>Unit_Profitability</t>
        </is>
      </c>
    </row>
    <row r="3">
      <c r="A3" t="inlineStr">
        <is>
          <t>Unit Economics</t>
        </is>
      </c>
      <c r="B3" t="inlineStr">
        <is>
          <t>Unit revenue minus unit cost gives unit profit.</t>
        </is>
      </c>
      <c r="C3" t="inlineStr">
        <is>
          <t>Unit_Profitability</t>
        </is>
      </c>
    </row>
    <row r="4">
      <c r="A4" t="inlineStr">
        <is>
          <t>Material Planning</t>
        </is>
      </c>
      <c r="B4" t="inlineStr">
        <is>
          <t>Reorder point combines lead-time demand and safety stock.</t>
        </is>
      </c>
      <c r="C4" t="inlineStr">
        <is>
          <t>Material_Reorder_Analysis</t>
        </is>
      </c>
    </row>
    <row r="5">
      <c r="A5" t="inlineStr">
        <is>
          <t>Monthly Trend</t>
        </is>
      </c>
      <c r="B5" t="inlineStr">
        <is>
          <t>Monthly profitability supports time-based discussion.</t>
        </is>
      </c>
      <c r="C5" t="inlineStr">
        <is>
          <t>Monthly_Profitability</t>
        </is>
      </c>
    </row>
    <row r="6">
      <c r="A6" t="inlineStr">
        <is>
          <t>Regional View</t>
        </is>
      </c>
      <c r="B6" t="inlineStr">
        <is>
          <t>Regional profitability provides a geographic comparison.</t>
        </is>
      </c>
      <c r="C6" t="inlineStr">
        <is>
          <t>Regional_Profitability</t>
        </is>
      </c>
    </row>
    <row r="7">
      <c r="A7" t="inlineStr">
        <is>
          <t>Planning Status</t>
        </is>
      </c>
      <c r="B7" t="inlineStr">
        <is>
          <t>Status compares closing stock with reorder point.</t>
        </is>
      </c>
      <c r="C7" t="inlineStr">
        <is>
          <t>Material_Reorder_Analysis</t>
        </is>
      </c>
    </row>
  </sheetData>
  <autoFilter ref="A1:C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5" customWidth="1" min="2" max="2"/>
    <col width="14" customWidth="1" min="3" max="3"/>
  </cols>
  <sheetData>
    <row r="1">
      <c r="A1" s="1" t="inlineStr">
        <is>
          <t>Field</t>
        </is>
      </c>
      <c r="B1" s="1" t="inlineStr">
        <is>
          <t>Meaning</t>
        </is>
      </c>
      <c r="C1" s="1" t="inlineStr">
        <is>
          <t>Type</t>
        </is>
      </c>
    </row>
    <row r="2">
      <c r="A2" t="inlineStr">
        <is>
          <t>Record_ID</t>
        </is>
      </c>
      <c r="B2" t="inlineStr">
        <is>
          <t>Business analysis field</t>
        </is>
      </c>
      <c r="C2" t="inlineStr">
        <is>
          <t>Numeric/Text</t>
        </is>
      </c>
    </row>
    <row r="3">
      <c r="A3" t="inlineStr">
        <is>
          <t>Month</t>
        </is>
      </c>
      <c r="B3" t="inlineStr">
        <is>
          <t>Business analysis field</t>
        </is>
      </c>
      <c r="C3" t="inlineStr">
        <is>
          <t>Numeric/Text</t>
        </is>
      </c>
    </row>
    <row r="4">
      <c r="A4" t="inlineStr">
        <is>
          <t>Product</t>
        </is>
      </c>
      <c r="B4" t="inlineStr">
        <is>
          <t>Business analysis field</t>
        </is>
      </c>
      <c r="C4" t="inlineStr">
        <is>
          <t>Numeric/Text</t>
        </is>
      </c>
    </row>
    <row r="5">
      <c r="A5" t="inlineStr">
        <is>
          <t>Region</t>
        </is>
      </c>
      <c r="B5" t="inlineStr">
        <is>
          <t>Business analysis field</t>
        </is>
      </c>
      <c r="C5" t="inlineStr">
        <is>
          <t>Numeric/Text</t>
        </is>
      </c>
    </row>
    <row r="6">
      <c r="A6" t="inlineStr">
        <is>
          <t>Sales_Units</t>
        </is>
      </c>
      <c r="B6" t="inlineStr">
        <is>
          <t>Business analysis field</t>
        </is>
      </c>
      <c r="C6" t="inlineStr">
        <is>
          <t>Numeric/Text</t>
        </is>
      </c>
    </row>
    <row r="7">
      <c r="A7" t="inlineStr">
        <is>
          <t>Production_Units</t>
        </is>
      </c>
      <c r="B7" t="inlineStr">
        <is>
          <t>Business analysis field</t>
        </is>
      </c>
      <c r="C7" t="inlineStr">
        <is>
          <t>Numeric/Text</t>
        </is>
      </c>
    </row>
    <row r="8">
      <c r="A8" t="inlineStr">
        <is>
          <t>Selling_Price_per_Unit</t>
        </is>
      </c>
      <c r="B8" t="inlineStr">
        <is>
          <t>Business analysis field</t>
        </is>
      </c>
      <c r="C8" t="inlineStr">
        <is>
          <t>Numeric/Text</t>
        </is>
      </c>
    </row>
    <row r="9">
      <c r="A9" t="inlineStr">
        <is>
          <t>Revenue</t>
        </is>
      </c>
      <c r="B9" t="inlineStr">
        <is>
          <t>Business analysis field</t>
        </is>
      </c>
      <c r="C9" t="inlineStr">
        <is>
          <t>Numeric/Text</t>
        </is>
      </c>
    </row>
    <row r="10">
      <c r="A10" t="inlineStr">
        <is>
          <t>Material_Cost_per_Unit</t>
        </is>
      </c>
      <c r="B10" t="inlineStr">
        <is>
          <t>Business analysis field</t>
        </is>
      </c>
      <c r="C10" t="inlineStr">
        <is>
          <t>Numeric/Text</t>
        </is>
      </c>
    </row>
    <row r="11">
      <c r="A11" t="inlineStr">
        <is>
          <t>Material_Cost</t>
        </is>
      </c>
      <c r="B11" t="inlineStr">
        <is>
          <t>Business analysis field</t>
        </is>
      </c>
      <c r="C11" t="inlineStr">
        <is>
          <t>Numeric/Text</t>
        </is>
      </c>
    </row>
    <row r="12">
      <c r="A12" t="inlineStr">
        <is>
          <t>Labour_Cost_per_Unit</t>
        </is>
      </c>
      <c r="B12" t="inlineStr">
        <is>
          <t>Business analysis field</t>
        </is>
      </c>
      <c r="C12" t="inlineStr">
        <is>
          <t>Numeric/Text</t>
        </is>
      </c>
    </row>
    <row r="13">
      <c r="A13" t="inlineStr">
        <is>
          <t>Labour_Cost</t>
        </is>
      </c>
      <c r="B13" t="inlineStr">
        <is>
          <t>Business analysis field</t>
        </is>
      </c>
      <c r="C13" t="inlineStr">
        <is>
          <t>Numeric/Text</t>
        </is>
      </c>
    </row>
    <row r="14">
      <c r="A14" t="inlineStr">
        <is>
          <t>Overhead_per_Unit</t>
        </is>
      </c>
      <c r="B14" t="inlineStr">
        <is>
          <t>Business analysis field</t>
        </is>
      </c>
      <c r="C14" t="inlineStr">
        <is>
          <t>Numeric/Text</t>
        </is>
      </c>
    </row>
    <row r="15">
      <c r="A15" t="inlineStr">
        <is>
          <t>Overhead_Cost</t>
        </is>
      </c>
      <c r="B15" t="inlineStr">
        <is>
          <t>Business analysis field</t>
        </is>
      </c>
      <c r="C15" t="inlineStr">
        <is>
          <t>Numeric/Text</t>
        </is>
      </c>
    </row>
    <row r="16">
      <c r="A16" t="inlineStr">
        <is>
          <t>Total_Cost</t>
        </is>
      </c>
      <c r="B16" t="inlineStr">
        <is>
          <t>Business analysis field</t>
        </is>
      </c>
      <c r="C16" t="inlineStr">
        <is>
          <t>Numeric/Text</t>
        </is>
      </c>
    </row>
    <row r="17">
      <c r="A17" t="inlineStr">
        <is>
          <t>Gross_Profit</t>
        </is>
      </c>
      <c r="B17" t="inlineStr">
        <is>
          <t>Business analysis field</t>
        </is>
      </c>
      <c r="C17" t="inlineStr">
        <is>
          <t>Numeric/Text</t>
        </is>
      </c>
    </row>
    <row r="18">
      <c r="A18" t="inlineStr">
        <is>
          <t>Unit_Margin</t>
        </is>
      </c>
      <c r="B18" t="inlineStr">
        <is>
          <t>Business analysis field</t>
        </is>
      </c>
      <c r="C18" t="inlineStr">
        <is>
          <t>Numeric/Text</t>
        </is>
      </c>
    </row>
    <row r="19">
      <c r="A19" t="inlineStr">
        <is>
          <t>Material_per_Unit</t>
        </is>
      </c>
      <c r="B19" t="inlineStr">
        <is>
          <t>Business analysis field</t>
        </is>
      </c>
      <c r="C19" t="inlineStr">
        <is>
          <t>Numeric/Text</t>
        </is>
      </c>
    </row>
    <row r="20">
      <c r="A20" t="inlineStr">
        <is>
          <t>Monthly_Material_Demand</t>
        </is>
      </c>
      <c r="B20" t="inlineStr">
        <is>
          <t>Business analysis field</t>
        </is>
      </c>
      <c r="C20" t="inlineStr">
        <is>
          <t>Numeric/Text</t>
        </is>
      </c>
    </row>
    <row r="21">
      <c r="A21" t="inlineStr">
        <is>
          <t>Avg_Daily_Material_Usage</t>
        </is>
      </c>
      <c r="B21" t="inlineStr">
        <is>
          <t>Business analysis field</t>
        </is>
      </c>
      <c r="C21" t="inlineStr">
        <is>
          <t>Numeric/Text</t>
        </is>
      </c>
    </row>
    <row r="22">
      <c r="A22" t="inlineStr">
        <is>
          <t>Lead_Time_Days</t>
        </is>
      </c>
      <c r="B22" t="inlineStr">
        <is>
          <t>Business analysis field</t>
        </is>
      </c>
      <c r="C22" t="inlineStr">
        <is>
          <t>Numeric/Text</t>
        </is>
      </c>
    </row>
    <row r="23">
      <c r="A23" t="inlineStr">
        <is>
          <t>Safety_Stock</t>
        </is>
      </c>
      <c r="B23" t="inlineStr">
        <is>
          <t>Business analysis field</t>
        </is>
      </c>
      <c r="C23" t="inlineStr">
        <is>
          <t>Numeric/Text</t>
        </is>
      </c>
    </row>
    <row r="24">
      <c r="A24" t="inlineStr">
        <is>
          <t>Reorder_Point</t>
        </is>
      </c>
      <c r="B24" t="inlineStr">
        <is>
          <t>Business analysis field</t>
        </is>
      </c>
      <c r="C24" t="inlineStr">
        <is>
          <t>Numeric/Text</t>
        </is>
      </c>
    </row>
    <row r="25">
      <c r="A25" t="inlineStr">
        <is>
          <t>Closing_Material_Stock</t>
        </is>
      </c>
      <c r="B25" t="inlineStr">
        <is>
          <t>Business analysis field</t>
        </is>
      </c>
      <c r="C25" t="inlineStr">
        <is>
          <t>Numeric/Text</t>
        </is>
      </c>
    </row>
  </sheetData>
  <autoFilter ref="A1:C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18" customWidth="1" min="3" max="3"/>
  </cols>
  <sheetData>
    <row r="1">
      <c r="A1" s="1" t="inlineStr">
        <is>
          <t>Step</t>
        </is>
      </c>
      <c r="B1" s="1" t="inlineStr">
        <is>
          <t>Calculation</t>
        </is>
      </c>
      <c r="C1" s="1" t="inlineStr">
        <is>
          <t>Output</t>
        </is>
      </c>
    </row>
    <row r="2">
      <c r="A2" t="inlineStr">
        <is>
          <t>1</t>
        </is>
      </c>
      <c r="B2" t="inlineStr">
        <is>
          <t>Sales Units × Selling Price</t>
        </is>
      </c>
      <c r="C2" t="inlineStr">
        <is>
          <t>Revenue</t>
        </is>
      </c>
    </row>
    <row r="3">
      <c r="A3" t="inlineStr">
        <is>
          <t>2</t>
        </is>
      </c>
      <c r="B3" t="inlineStr">
        <is>
          <t>Material + Labour + Overhead</t>
        </is>
      </c>
      <c r="C3" t="inlineStr">
        <is>
          <t>Total Cost</t>
        </is>
      </c>
    </row>
    <row r="4">
      <c r="A4" t="inlineStr">
        <is>
          <t>3</t>
        </is>
      </c>
      <c r="B4" t="inlineStr">
        <is>
          <t>Revenue − Total Cost</t>
        </is>
      </c>
      <c r="C4" t="inlineStr">
        <is>
          <t>Gross Profit</t>
        </is>
      </c>
    </row>
    <row r="5">
      <c r="A5" t="inlineStr">
        <is>
          <t>4</t>
        </is>
      </c>
      <c r="B5" t="inlineStr">
        <is>
          <t>Gross Profit / Sales Units</t>
        </is>
      </c>
      <c r="C5" t="inlineStr">
        <is>
          <t>Unit Profit</t>
        </is>
      </c>
    </row>
    <row r="6">
      <c r="A6" t="inlineStr">
        <is>
          <t>5</t>
        </is>
      </c>
      <c r="B6" t="inlineStr">
        <is>
          <t>Gross Profit / Revenue</t>
        </is>
      </c>
      <c r="C6" t="inlineStr">
        <is>
          <t>Unit Margin</t>
        </is>
      </c>
    </row>
    <row r="7">
      <c r="A7" t="inlineStr">
        <is>
          <t>6</t>
        </is>
      </c>
      <c r="B7" t="inlineStr">
        <is>
          <t>Average Daily Usage × Lead Time</t>
        </is>
      </c>
      <c r="C7" t="inlineStr">
        <is>
          <t>Lead-Time Demand</t>
        </is>
      </c>
    </row>
    <row r="8">
      <c r="A8" t="inlineStr">
        <is>
          <t>7</t>
        </is>
      </c>
      <c r="B8" t="inlineStr">
        <is>
          <t>Lead-Time Demand + Safety Stock</t>
        </is>
      </c>
      <c r="C8" t="inlineStr">
        <is>
          <t>Reorder Point</t>
        </is>
      </c>
    </row>
    <row r="9">
      <c r="A9" t="inlineStr">
        <is>
          <t>8</t>
        </is>
      </c>
      <c r="B9" t="inlineStr">
        <is>
          <t>Closing Stock ≤ Reorder Point</t>
        </is>
      </c>
      <c r="C9" t="inlineStr">
        <is>
          <t>Reorder Status</t>
        </is>
      </c>
    </row>
  </sheetData>
  <autoFilter ref="A1:C9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Step</t>
        </is>
      </c>
      <c r="B1" s="1" t="inlineStr">
        <is>
          <t>Instruction</t>
        </is>
      </c>
    </row>
    <row r="2">
      <c r="A2" t="inlineStr">
        <is>
          <t>1</t>
        </is>
      </c>
      <c r="B2" t="inlineStr">
        <is>
          <t>Open Profitability_Data and understand the raw records.</t>
        </is>
      </c>
    </row>
    <row r="3">
      <c r="A3" t="inlineStr">
        <is>
          <t>2</t>
        </is>
      </c>
      <c r="B3" t="inlineStr">
        <is>
          <t>Review Formula_Guide.</t>
        </is>
      </c>
    </row>
    <row r="4">
      <c r="A4" t="inlineStr">
        <is>
          <t>3</t>
        </is>
      </c>
      <c r="B4" t="inlineStr">
        <is>
          <t>Review Unit_Profitability.</t>
        </is>
      </c>
    </row>
    <row r="5">
      <c r="A5" t="inlineStr">
        <is>
          <t>4</t>
        </is>
      </c>
      <c r="B5" t="inlineStr">
        <is>
          <t>Review Material_Reorder_Analysis.</t>
        </is>
      </c>
    </row>
    <row r="6">
      <c r="A6" t="inlineStr">
        <is>
          <t>5</t>
        </is>
      </c>
      <c r="B6" t="inlineStr">
        <is>
          <t>Review Monthly_Profitability.</t>
        </is>
      </c>
    </row>
    <row r="7">
      <c r="A7" t="inlineStr">
        <is>
          <t>6</t>
        </is>
      </c>
      <c r="B7" t="inlineStr">
        <is>
          <t>Review Regional_Profitability.</t>
        </is>
      </c>
    </row>
    <row r="8">
      <c r="A8" t="inlineStr">
        <is>
          <t>7</t>
        </is>
      </c>
      <c r="B8" t="inlineStr">
        <is>
          <t>Review Product_Material.</t>
        </is>
      </c>
    </row>
    <row r="9">
      <c r="A9" t="inlineStr">
        <is>
          <t>8</t>
        </is>
      </c>
      <c r="B9" t="inlineStr">
        <is>
          <t>Answer Unit_Level_Questions.</t>
        </is>
      </c>
    </row>
    <row r="10">
      <c r="A10" t="inlineStr">
        <is>
          <t>9</t>
        </is>
      </c>
      <c r="B10" t="inlineStr">
        <is>
          <t>Review Business_Insights.</t>
        </is>
      </c>
    </row>
    <row r="11">
      <c r="A11" t="inlineStr">
        <is>
          <t>10</t>
        </is>
      </c>
      <c r="B11" t="inlineStr">
        <is>
          <t>Use the dashboard for visual discussion.</t>
        </is>
      </c>
    </row>
  </sheetData>
  <autoFilter ref="A1:B11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cols>
    <col width="24" customWidth="1" min="1" max="1"/>
    <col width="85" customWidth="1" min="2" max="2"/>
  </cols>
  <sheetData>
    <row r="1">
      <c r="A1" s="3" t="inlineStr">
        <is>
          <t>Day 051 — Unit Level Profitability &amp; Material Reordering</t>
        </is>
      </c>
    </row>
    <row r="3">
      <c r="A3" s="4" t="inlineStr">
        <is>
          <t>Dataset Note</t>
        </is>
      </c>
      <c r="B3" t="inlineStr">
        <is>
          <t>Illustrative ACE Gears-style practice data; not official IITM data.</t>
        </is>
      </c>
    </row>
    <row r="4">
      <c r="A4" s="4" t="inlineStr">
        <is>
          <t>Profit Formula</t>
        </is>
      </c>
      <c r="B4" t="inlineStr">
        <is>
          <t>Gross Profit = Revenue − Total Cost</t>
        </is>
      </c>
    </row>
    <row r="5">
      <c r="A5" s="4" t="inlineStr">
        <is>
          <t>Reorder Formula</t>
        </is>
      </c>
      <c r="B5" t="inlineStr">
        <is>
          <t>Reorder Point = Lead-Time Demand + Safety Stock</t>
        </is>
      </c>
    </row>
  </sheetData>
  <mergeCells count="1">
    <mergeCell ref="A1:L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2026-09-16T06:36:19Z</dcterms:created>
  <dcterms:modified xmlns:dcterms="http://purl.org/dc/terms/" xmlns:xsi="http://www.w3.org/2001/XMLSchema-instance" xsi:type="dcterms:W3CDTF">2026-09-16T06:36:19Z</dcterms:modified>
</cp:coreProperties>
</file>