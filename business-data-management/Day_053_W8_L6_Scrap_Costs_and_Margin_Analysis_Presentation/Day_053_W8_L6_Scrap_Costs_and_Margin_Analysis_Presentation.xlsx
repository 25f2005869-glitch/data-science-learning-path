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_Margin_Data" sheetId="1" state="visible" r:id="rId1"/>
    <sheet xmlns:r="http://schemas.openxmlformats.org/officeDocument/2006/relationships" name="Product_Scrap_Margin" sheetId="2" state="visible" r:id="rId2"/>
    <sheet xmlns:r="http://schemas.openxmlformats.org/officeDocument/2006/relationships" name="Monthly_Scrap_Margin" sheetId="3" state="visible" r:id="rId3"/>
    <sheet xmlns:r="http://schemas.openxmlformats.org/officeDocument/2006/relationships" name="Region_Scrap_Margin" sheetId="4" state="visible" r:id="rId4"/>
    <sheet xmlns:r="http://schemas.openxmlformats.org/officeDocument/2006/relationships" name="Cost_Analysis" sheetId="5" state="visible" r:id="rId5"/>
    <sheet xmlns:r="http://schemas.openxmlformats.org/officeDocument/2006/relationships" name="Presentation_Flow" sheetId="6" state="visible" r:id="rId6"/>
    <sheet xmlns:r="http://schemas.openxmlformats.org/officeDocument/2006/relationships" name="Presentation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Scrap_Cost_Margin_Working" sheetId="10" state="visible" r:id="rId10"/>
    <sheet xmlns:r="http://schemas.openxmlformats.org/officeDocument/2006/relationships" name="Instructions" sheetId="11" state="visible" r:id="rId11"/>
    <sheet xmlns:r="http://schemas.openxmlformats.org/officeDocument/2006/relationships" name="Scrap_Margin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Scrap Cost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'Product_Scrap_Margin'!H1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'Product_Scrap_Margin'!$A$2:$A$4</f>
            </numRef>
          </cat>
          <val>
            <numRef>
              <f>'Product_Scrap_Margin'!$H$2:$H$4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Scrap 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Scrap Cost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'Monthly_Scrap_Margin'!F1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'Monthly_Scrap_Margin'!$A$2:$A$7</f>
            </numRef>
          </cat>
          <val>
            <numRef>
              <f>'Monthly_Scrap_Margin'!$F$2:$F$7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Scrap 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Scrap Rate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'Product_Scrap_Margin'!I1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'Product_Scrap_Margin'!$A$2:$A$4</f>
            </numRef>
          </cat>
          <val>
            <numRef>
              <f>'Product_Scrap_Margin'!$I$2:$I$4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Scrap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 %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'Product_Scrap_Margin'!J1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'Product_Scrap_Margin'!$A$2:$A$4</f>
            </numRef>
          </cat>
          <val>
            <numRef>
              <f>'Product_Scrap_Margin'!$J$2:$J$4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Production_Units</t>
        </is>
      </c>
      <c r="F1" s="1" t="inlineStr">
        <is>
          <t>Scrap_Units</t>
        </is>
      </c>
      <c r="G1" s="1" t="inlineStr">
        <is>
          <t>Sales_Units</t>
        </is>
      </c>
      <c r="H1" s="1" t="inlineStr">
        <is>
          <t>Selling_Price_per_Unit</t>
        </is>
      </c>
      <c r="I1" s="1" t="inlineStr">
        <is>
          <t>Material_Cost_per_Unit</t>
        </is>
      </c>
      <c r="J1" s="1" t="inlineStr">
        <is>
          <t>Labour_Cost_per_Unit</t>
        </is>
      </c>
      <c r="K1" s="1" t="inlineStr">
        <is>
          <t>Overhead_per_Unit</t>
        </is>
      </c>
      <c r="L1" s="1" t="inlineStr">
        <is>
          <t>Revenue</t>
        </is>
      </c>
      <c r="M1" s="1" t="inlineStr">
        <is>
          <t>Material_Cost</t>
        </is>
      </c>
      <c r="N1" s="1" t="inlineStr">
        <is>
          <t>Labour_Cost</t>
        </is>
      </c>
      <c r="O1" s="1" t="inlineStr">
        <is>
          <t>Overhead_Cost</t>
        </is>
      </c>
      <c r="P1" s="1" t="inlineStr">
        <is>
          <t>Total_Production_Cost</t>
        </is>
      </c>
      <c r="Q1" s="1" t="inlineStr">
        <is>
          <t>Scrap_Cost</t>
        </is>
      </c>
      <c r="R1" s="1" t="inlineStr">
        <is>
          <t>Cost_of_Sales</t>
        </is>
      </c>
      <c r="S1" s="1" t="inlineStr">
        <is>
          <t>Gross_Profit</t>
        </is>
      </c>
      <c r="T1" s="1" t="inlineStr">
        <is>
          <t>Margin_%</t>
        </is>
      </c>
      <c r="U1" s="1" t="inlineStr">
        <is>
          <t>Margin_After_Scrap_%</t>
        </is>
      </c>
    </row>
    <row r="2">
      <c r="A2" t="n">
        <v>1</v>
      </c>
      <c r="B2" t="inlineStr">
        <is>
          <t>Jan-2023</t>
        </is>
      </c>
      <c r="C2" t="inlineStr">
        <is>
          <t>Gears</t>
        </is>
      </c>
      <c r="D2" t="inlineStr">
        <is>
          <t>North</t>
        </is>
      </c>
      <c r="E2" t="n">
        <v>773</v>
      </c>
      <c r="F2" t="n">
        <v>22</v>
      </c>
      <c r="G2" t="n">
        <v>683</v>
      </c>
      <c r="H2" t="n">
        <v>500</v>
      </c>
      <c r="I2" t="n">
        <v>230</v>
      </c>
      <c r="J2" t="n">
        <v>55</v>
      </c>
      <c r="K2" t="n">
        <v>25</v>
      </c>
      <c r="L2" t="n">
        <v>341500</v>
      </c>
      <c r="M2" t="n">
        <v>177790</v>
      </c>
      <c r="N2" t="n">
        <v>42515</v>
      </c>
      <c r="O2" t="n">
        <v>19325</v>
      </c>
      <c r="P2" t="n">
        <v>239630</v>
      </c>
      <c r="Q2" t="n">
        <v>6820</v>
      </c>
      <c r="R2" t="n">
        <v>211730</v>
      </c>
      <c r="S2" t="n">
        <v>129770</v>
      </c>
      <c r="T2" t="n">
        <v>0.38</v>
      </c>
      <c r="U2" t="n">
        <v>0.2983016105417277</v>
      </c>
    </row>
    <row r="3">
      <c r="A3" t="n">
        <v>2</v>
      </c>
      <c r="B3" t="inlineStr">
        <is>
          <t>Jan-2023</t>
        </is>
      </c>
      <c r="C3" t="inlineStr">
        <is>
          <t>Shafts</t>
        </is>
      </c>
      <c r="D3" t="inlineStr">
        <is>
          <t>North</t>
        </is>
      </c>
      <c r="E3" t="n">
        <v>734</v>
      </c>
      <c r="F3" t="n">
        <v>20</v>
      </c>
      <c r="G3" t="n">
        <v>650</v>
      </c>
      <c r="H3" t="n">
        <v>450</v>
      </c>
      <c r="I3" t="n">
        <v>220</v>
      </c>
      <c r="J3" t="n">
        <v>50</v>
      </c>
      <c r="K3" t="n">
        <v>22</v>
      </c>
      <c r="L3" t="n">
        <v>292500</v>
      </c>
      <c r="M3" t="n">
        <v>161480</v>
      </c>
      <c r="N3" t="n">
        <v>36700</v>
      </c>
      <c r="O3" t="n">
        <v>16148</v>
      </c>
      <c r="P3" t="n">
        <v>214328</v>
      </c>
      <c r="Q3" t="n">
        <v>5840</v>
      </c>
      <c r="R3" t="n">
        <v>189800</v>
      </c>
      <c r="S3" t="n">
        <v>102700</v>
      </c>
      <c r="T3" t="n">
        <v>0.3511111111111111</v>
      </c>
      <c r="U3" t="n">
        <v>0.2672547008547009</v>
      </c>
    </row>
    <row r="4">
      <c r="A4" t="n">
        <v>3</v>
      </c>
      <c r="B4" t="inlineStr">
        <is>
          <t>Jan-2023</t>
        </is>
      </c>
      <c r="C4" t="inlineStr">
        <is>
          <t>Bearings</t>
        </is>
      </c>
      <c r="D4" t="inlineStr">
        <is>
          <t>North</t>
        </is>
      </c>
      <c r="E4" t="n">
        <v>753</v>
      </c>
      <c r="F4" t="n">
        <v>23</v>
      </c>
      <c r="G4" t="n">
        <v>664</v>
      </c>
      <c r="H4" t="n">
        <v>400</v>
      </c>
      <c r="I4" t="n">
        <v>210</v>
      </c>
      <c r="J4" t="n">
        <v>48</v>
      </c>
      <c r="K4" t="n">
        <v>20</v>
      </c>
      <c r="L4" t="n">
        <v>265600</v>
      </c>
      <c r="M4" t="n">
        <v>158130</v>
      </c>
      <c r="N4" t="n">
        <v>36144</v>
      </c>
      <c r="O4" t="n">
        <v>15060</v>
      </c>
      <c r="P4" t="n">
        <v>209334</v>
      </c>
      <c r="Q4" t="n">
        <v>6394</v>
      </c>
      <c r="R4" t="n">
        <v>184592</v>
      </c>
      <c r="S4" t="n">
        <v>81008</v>
      </c>
      <c r="T4" t="n">
        <v>0.305</v>
      </c>
      <c r="U4" t="n">
        <v>0.2118448795180723</v>
      </c>
    </row>
    <row r="5">
      <c r="A5" t="n">
        <v>4</v>
      </c>
      <c r="B5" t="inlineStr">
        <is>
          <t>Jan-2023</t>
        </is>
      </c>
      <c r="C5" t="inlineStr">
        <is>
          <t>Gears</t>
        </is>
      </c>
      <c r="D5" t="inlineStr">
        <is>
          <t>South</t>
        </is>
      </c>
      <c r="E5" t="n">
        <v>699</v>
      </c>
      <c r="F5" t="n">
        <v>20</v>
      </c>
      <c r="G5" t="n">
        <v>618</v>
      </c>
      <c r="H5" t="n">
        <v>500</v>
      </c>
      <c r="I5" t="n">
        <v>230</v>
      </c>
      <c r="J5" t="n">
        <v>55</v>
      </c>
      <c r="K5" t="n">
        <v>25</v>
      </c>
      <c r="L5" t="n">
        <v>309000</v>
      </c>
      <c r="M5" t="n">
        <v>160770</v>
      </c>
      <c r="N5" t="n">
        <v>38445</v>
      </c>
      <c r="O5" t="n">
        <v>17475</v>
      </c>
      <c r="P5" t="n">
        <v>216690</v>
      </c>
      <c r="Q5" t="n">
        <v>6200</v>
      </c>
      <c r="R5" t="n">
        <v>191580</v>
      </c>
      <c r="S5" t="n">
        <v>117420</v>
      </c>
      <c r="T5" t="n">
        <v>0.38</v>
      </c>
      <c r="U5" t="n">
        <v>0.2987378640776699</v>
      </c>
    </row>
    <row r="6">
      <c r="A6" t="n">
        <v>5</v>
      </c>
      <c r="B6" t="inlineStr">
        <is>
          <t>Jan-2023</t>
        </is>
      </c>
      <c r="C6" t="inlineStr">
        <is>
          <t>Shafts</t>
        </is>
      </c>
      <c r="D6" t="inlineStr">
        <is>
          <t>South</t>
        </is>
      </c>
      <c r="E6" t="n">
        <v>664</v>
      </c>
      <c r="F6" t="n">
        <v>18</v>
      </c>
      <c r="G6" t="n">
        <v>588</v>
      </c>
      <c r="H6" t="n">
        <v>450</v>
      </c>
      <c r="I6" t="n">
        <v>220</v>
      </c>
      <c r="J6" t="n">
        <v>50</v>
      </c>
      <c r="K6" t="n">
        <v>22</v>
      </c>
      <c r="L6" t="n">
        <v>264600</v>
      </c>
      <c r="M6" t="n">
        <v>146080</v>
      </c>
      <c r="N6" t="n">
        <v>33200</v>
      </c>
      <c r="O6" t="n">
        <v>14608</v>
      </c>
      <c r="P6" t="n">
        <v>193888</v>
      </c>
      <c r="Q6" t="n">
        <v>5256</v>
      </c>
      <c r="R6" t="n">
        <v>171696</v>
      </c>
      <c r="S6" t="n">
        <v>92904</v>
      </c>
      <c r="T6" t="n">
        <v>0.3511111111111111</v>
      </c>
      <c r="U6" t="n">
        <v>0.2672411186696901</v>
      </c>
    </row>
    <row r="7">
      <c r="A7" t="n">
        <v>6</v>
      </c>
      <c r="B7" t="inlineStr">
        <is>
          <t>Jan-2023</t>
        </is>
      </c>
      <c r="C7" t="inlineStr">
        <is>
          <t>Bearings</t>
        </is>
      </c>
      <c r="D7" t="inlineStr">
        <is>
          <t>South</t>
        </is>
      </c>
      <c r="E7" t="n">
        <v>682</v>
      </c>
      <c r="F7" t="n">
        <v>20</v>
      </c>
      <c r="G7" t="n">
        <v>602</v>
      </c>
      <c r="H7" t="n">
        <v>400</v>
      </c>
      <c r="I7" t="n">
        <v>210</v>
      </c>
      <c r="J7" t="n">
        <v>48</v>
      </c>
      <c r="K7" t="n">
        <v>20</v>
      </c>
      <c r="L7" t="n">
        <v>240800</v>
      </c>
      <c r="M7" t="n">
        <v>143220</v>
      </c>
      <c r="N7" t="n">
        <v>32736</v>
      </c>
      <c r="O7" t="n">
        <v>13640</v>
      </c>
      <c r="P7" t="n">
        <v>189596</v>
      </c>
      <c r="Q7" t="n">
        <v>5560</v>
      </c>
      <c r="R7" t="n">
        <v>167356</v>
      </c>
      <c r="S7" t="n">
        <v>73444</v>
      </c>
      <c r="T7" t="n">
        <v>0.305</v>
      </c>
      <c r="U7" t="n">
        <v>0.212641196013289</v>
      </c>
    </row>
    <row r="8">
      <c r="A8" t="n">
        <v>7</v>
      </c>
      <c r="B8" t="inlineStr">
        <is>
          <t>Jan-2023</t>
        </is>
      </c>
      <c r="C8" t="inlineStr">
        <is>
          <t>Gears</t>
        </is>
      </c>
      <c r="D8" t="inlineStr">
        <is>
          <t>West</t>
        </is>
      </c>
      <c r="E8" t="n">
        <v>736</v>
      </c>
      <c r="F8" t="n">
        <v>21</v>
      </c>
      <c r="G8" t="n">
        <v>651</v>
      </c>
      <c r="H8" t="n">
        <v>500</v>
      </c>
      <c r="I8" t="n">
        <v>230</v>
      </c>
      <c r="J8" t="n">
        <v>55</v>
      </c>
      <c r="K8" t="n">
        <v>25</v>
      </c>
      <c r="L8" t="n">
        <v>325500</v>
      </c>
      <c r="M8" t="n">
        <v>169280</v>
      </c>
      <c r="N8" t="n">
        <v>40480</v>
      </c>
      <c r="O8" t="n">
        <v>18400</v>
      </c>
      <c r="P8" t="n">
        <v>228160</v>
      </c>
      <c r="Q8" t="n">
        <v>6510</v>
      </c>
      <c r="R8" t="n">
        <v>201810</v>
      </c>
      <c r="S8" t="n">
        <v>123690</v>
      </c>
      <c r="T8" t="n">
        <v>0.38</v>
      </c>
      <c r="U8" t="n">
        <v>0.2990476190476191</v>
      </c>
    </row>
    <row r="9">
      <c r="A9" t="n">
        <v>8</v>
      </c>
      <c r="B9" t="inlineStr">
        <is>
          <t>Jan-2023</t>
        </is>
      </c>
      <c r="C9" t="inlineStr">
        <is>
          <t>Shafts</t>
        </is>
      </c>
      <c r="D9" t="inlineStr">
        <is>
          <t>West</t>
        </is>
      </c>
      <c r="E9" t="n">
        <v>699</v>
      </c>
      <c r="F9" t="n">
        <v>19</v>
      </c>
      <c r="G9" t="n">
        <v>619</v>
      </c>
      <c r="H9" t="n">
        <v>450</v>
      </c>
      <c r="I9" t="n">
        <v>220</v>
      </c>
      <c r="J9" t="n">
        <v>50</v>
      </c>
      <c r="K9" t="n">
        <v>22</v>
      </c>
      <c r="L9" t="n">
        <v>278550</v>
      </c>
      <c r="M9" t="n">
        <v>153780</v>
      </c>
      <c r="N9" t="n">
        <v>34950</v>
      </c>
      <c r="O9" t="n">
        <v>15378</v>
      </c>
      <c r="P9" t="n">
        <v>204108</v>
      </c>
      <c r="Q9" t="n">
        <v>5548</v>
      </c>
      <c r="R9" t="n">
        <v>180748</v>
      </c>
      <c r="S9" t="n">
        <v>97802</v>
      </c>
      <c r="T9" t="n">
        <v>0.3511111111111111</v>
      </c>
      <c r="U9" t="n">
        <v>0.2672482498653743</v>
      </c>
    </row>
    <row r="10">
      <c r="A10" t="n">
        <v>9</v>
      </c>
      <c r="B10" t="inlineStr">
        <is>
          <t>Jan-2023</t>
        </is>
      </c>
      <c r="C10" t="inlineStr">
        <is>
          <t>Bearings</t>
        </is>
      </c>
      <c r="D10" t="inlineStr">
        <is>
          <t>West</t>
        </is>
      </c>
      <c r="E10" t="n">
        <v>718</v>
      </c>
      <c r="F10" t="n">
        <v>22</v>
      </c>
      <c r="G10" t="n">
        <v>633</v>
      </c>
      <c r="H10" t="n">
        <v>400</v>
      </c>
      <c r="I10" t="n">
        <v>210</v>
      </c>
      <c r="J10" t="n">
        <v>48</v>
      </c>
      <c r="K10" t="n">
        <v>20</v>
      </c>
      <c r="L10" t="n">
        <v>253200</v>
      </c>
      <c r="M10" t="n">
        <v>150780</v>
      </c>
      <c r="N10" t="n">
        <v>34464</v>
      </c>
      <c r="O10" t="n">
        <v>14360</v>
      </c>
      <c r="P10" t="n">
        <v>199604</v>
      </c>
      <c r="Q10" t="n">
        <v>6116</v>
      </c>
      <c r="R10" t="n">
        <v>175974</v>
      </c>
      <c r="S10" t="n">
        <v>77226</v>
      </c>
      <c r="T10" t="n">
        <v>0.305</v>
      </c>
      <c r="U10" t="n">
        <v>0.2116745655608215</v>
      </c>
    </row>
    <row r="11">
      <c r="A11" t="n">
        <v>10</v>
      </c>
      <c r="B11" t="inlineStr">
        <is>
          <t>Feb-2023</t>
        </is>
      </c>
      <c r="C11" t="inlineStr">
        <is>
          <t>Gears</t>
        </is>
      </c>
      <c r="D11" t="inlineStr">
        <is>
          <t>North</t>
        </is>
      </c>
      <c r="E11" t="n">
        <v>806</v>
      </c>
      <c r="F11" t="n">
        <v>23</v>
      </c>
      <c r="G11" t="n">
        <v>713</v>
      </c>
      <c r="H11" t="n">
        <v>500</v>
      </c>
      <c r="I11" t="n">
        <v>230</v>
      </c>
      <c r="J11" t="n">
        <v>55</v>
      </c>
      <c r="K11" t="n">
        <v>25</v>
      </c>
      <c r="L11" t="n">
        <v>356500</v>
      </c>
      <c r="M11" t="n">
        <v>185380</v>
      </c>
      <c r="N11" t="n">
        <v>44330</v>
      </c>
      <c r="O11" t="n">
        <v>20150</v>
      </c>
      <c r="P11" t="n">
        <v>249860</v>
      </c>
      <c r="Q11" t="n">
        <v>7130</v>
      </c>
      <c r="R11" t="n">
        <v>221030</v>
      </c>
      <c r="S11" t="n">
        <v>135470</v>
      </c>
      <c r="T11" t="n">
        <v>0.38</v>
      </c>
      <c r="U11" t="n">
        <v>0.2991304347826087</v>
      </c>
    </row>
    <row r="12">
      <c r="A12" t="n">
        <v>11</v>
      </c>
      <c r="B12" t="inlineStr">
        <is>
          <t>Feb-2023</t>
        </is>
      </c>
      <c r="C12" t="inlineStr">
        <is>
          <t>Shafts</t>
        </is>
      </c>
      <c r="D12" t="inlineStr">
        <is>
          <t>North</t>
        </is>
      </c>
      <c r="E12" t="n">
        <v>766</v>
      </c>
      <c r="F12" t="n">
        <v>21</v>
      </c>
      <c r="G12" t="n">
        <v>678</v>
      </c>
      <c r="H12" t="n">
        <v>450</v>
      </c>
      <c r="I12" t="n">
        <v>220</v>
      </c>
      <c r="J12" t="n">
        <v>50</v>
      </c>
      <c r="K12" t="n">
        <v>22</v>
      </c>
      <c r="L12" t="n">
        <v>305100</v>
      </c>
      <c r="M12" t="n">
        <v>168520</v>
      </c>
      <c r="N12" t="n">
        <v>38300</v>
      </c>
      <c r="O12" t="n">
        <v>16852</v>
      </c>
      <c r="P12" t="n">
        <v>223672</v>
      </c>
      <c r="Q12" t="n">
        <v>6132</v>
      </c>
      <c r="R12" t="n">
        <v>197976</v>
      </c>
      <c r="S12" t="n">
        <v>107124</v>
      </c>
      <c r="T12" t="n">
        <v>0.3511111111111111</v>
      </c>
      <c r="U12" t="n">
        <v>0.2668895444116683</v>
      </c>
    </row>
    <row r="13">
      <c r="A13" t="n">
        <v>12</v>
      </c>
      <c r="B13" t="inlineStr">
        <is>
          <t>Feb-2023</t>
        </is>
      </c>
      <c r="C13" t="inlineStr">
        <is>
          <t>Bearings</t>
        </is>
      </c>
      <c r="D13" t="inlineStr">
        <is>
          <t>North</t>
        </is>
      </c>
      <c r="E13" t="n">
        <v>786</v>
      </c>
      <c r="F13" t="n">
        <v>24</v>
      </c>
      <c r="G13" t="n">
        <v>693</v>
      </c>
      <c r="H13" t="n">
        <v>400</v>
      </c>
      <c r="I13" t="n">
        <v>210</v>
      </c>
      <c r="J13" t="n">
        <v>48</v>
      </c>
      <c r="K13" t="n">
        <v>20</v>
      </c>
      <c r="L13" t="n">
        <v>277200</v>
      </c>
      <c r="M13" t="n">
        <v>165060</v>
      </c>
      <c r="N13" t="n">
        <v>37728</v>
      </c>
      <c r="O13" t="n">
        <v>15720</v>
      </c>
      <c r="P13" t="n">
        <v>218508</v>
      </c>
      <c r="Q13" t="n">
        <v>6672</v>
      </c>
      <c r="R13" t="n">
        <v>192654</v>
      </c>
      <c r="S13" t="n">
        <v>84546</v>
      </c>
      <c r="T13" t="n">
        <v>0.305</v>
      </c>
      <c r="U13" t="n">
        <v>0.2117316017316017</v>
      </c>
    </row>
    <row r="14">
      <c r="A14" t="n">
        <v>13</v>
      </c>
      <c r="B14" t="inlineStr">
        <is>
          <t>Feb-2023</t>
        </is>
      </c>
      <c r="C14" t="inlineStr">
        <is>
          <t>Gears</t>
        </is>
      </c>
      <c r="D14" t="inlineStr">
        <is>
          <t>South</t>
        </is>
      </c>
      <c r="E14" t="n">
        <v>730</v>
      </c>
      <c r="F14" t="n">
        <v>20</v>
      </c>
      <c r="G14" t="n">
        <v>646</v>
      </c>
      <c r="H14" t="n">
        <v>500</v>
      </c>
      <c r="I14" t="n">
        <v>230</v>
      </c>
      <c r="J14" t="n">
        <v>55</v>
      </c>
      <c r="K14" t="n">
        <v>25</v>
      </c>
      <c r="L14" t="n">
        <v>323000</v>
      </c>
      <c r="M14" t="n">
        <v>167900</v>
      </c>
      <c r="N14" t="n">
        <v>40150</v>
      </c>
      <c r="O14" t="n">
        <v>18250</v>
      </c>
      <c r="P14" t="n">
        <v>226300</v>
      </c>
      <c r="Q14" t="n">
        <v>6200</v>
      </c>
      <c r="R14" t="n">
        <v>200260</v>
      </c>
      <c r="S14" t="n">
        <v>122740</v>
      </c>
      <c r="T14" t="n">
        <v>0.38</v>
      </c>
      <c r="U14" t="n">
        <v>0.2993808049535604</v>
      </c>
    </row>
    <row r="15">
      <c r="A15" t="n">
        <v>14</v>
      </c>
      <c r="B15" t="inlineStr">
        <is>
          <t>Feb-2023</t>
        </is>
      </c>
      <c r="C15" t="inlineStr">
        <is>
          <t>Shafts</t>
        </is>
      </c>
      <c r="D15" t="inlineStr">
        <is>
          <t>South</t>
        </is>
      </c>
      <c r="E15" t="n">
        <v>693</v>
      </c>
      <c r="F15" t="n">
        <v>19</v>
      </c>
      <c r="G15" t="n">
        <v>613</v>
      </c>
      <c r="H15" t="n">
        <v>450</v>
      </c>
      <c r="I15" t="n">
        <v>220</v>
      </c>
      <c r="J15" t="n">
        <v>50</v>
      </c>
      <c r="K15" t="n">
        <v>22</v>
      </c>
      <c r="L15" t="n">
        <v>275850</v>
      </c>
      <c r="M15" t="n">
        <v>152460</v>
      </c>
      <c r="N15" t="n">
        <v>34650</v>
      </c>
      <c r="O15" t="n">
        <v>15246</v>
      </c>
      <c r="P15" t="n">
        <v>202356</v>
      </c>
      <c r="Q15" t="n">
        <v>5548</v>
      </c>
      <c r="R15" t="n">
        <v>178996</v>
      </c>
      <c r="S15" t="n">
        <v>96854</v>
      </c>
      <c r="T15" t="n">
        <v>0.3511111111111111</v>
      </c>
      <c r="U15" t="n">
        <v>0.2664274061990212</v>
      </c>
    </row>
    <row r="16">
      <c r="A16" t="n">
        <v>15</v>
      </c>
      <c r="B16" t="inlineStr">
        <is>
          <t>Feb-2023</t>
        </is>
      </c>
      <c r="C16" t="inlineStr">
        <is>
          <t>Bearings</t>
        </is>
      </c>
      <c r="D16" t="inlineStr">
        <is>
          <t>South</t>
        </is>
      </c>
      <c r="E16" t="n">
        <v>711</v>
      </c>
      <c r="F16" t="n">
        <v>21</v>
      </c>
      <c r="G16" t="n">
        <v>628</v>
      </c>
      <c r="H16" t="n">
        <v>400</v>
      </c>
      <c r="I16" t="n">
        <v>210</v>
      </c>
      <c r="J16" t="n">
        <v>48</v>
      </c>
      <c r="K16" t="n">
        <v>20</v>
      </c>
      <c r="L16" t="n">
        <v>251200</v>
      </c>
      <c r="M16" t="n">
        <v>149310</v>
      </c>
      <c r="N16" t="n">
        <v>34128</v>
      </c>
      <c r="O16" t="n">
        <v>14220</v>
      </c>
      <c r="P16" t="n">
        <v>197658</v>
      </c>
      <c r="Q16" t="n">
        <v>5838</v>
      </c>
      <c r="R16" t="n">
        <v>174584</v>
      </c>
      <c r="S16" t="n">
        <v>76616</v>
      </c>
      <c r="T16" t="n">
        <v>0.305</v>
      </c>
      <c r="U16" t="n">
        <v>0.2131449044585987</v>
      </c>
    </row>
    <row r="17">
      <c r="A17" t="n">
        <v>16</v>
      </c>
      <c r="B17" t="inlineStr">
        <is>
          <t>Feb-2023</t>
        </is>
      </c>
      <c r="C17" t="inlineStr">
        <is>
          <t>Gears</t>
        </is>
      </c>
      <c r="D17" t="inlineStr">
        <is>
          <t>West</t>
        </is>
      </c>
      <c r="E17" t="n">
        <v>768</v>
      </c>
      <c r="F17" t="n">
        <v>22</v>
      </c>
      <c r="G17" t="n">
        <v>679</v>
      </c>
      <c r="H17" t="n">
        <v>500</v>
      </c>
      <c r="I17" t="n">
        <v>230</v>
      </c>
      <c r="J17" t="n">
        <v>55</v>
      </c>
      <c r="K17" t="n">
        <v>25</v>
      </c>
      <c r="L17" t="n">
        <v>339500</v>
      </c>
      <c r="M17" t="n">
        <v>176640</v>
      </c>
      <c r="N17" t="n">
        <v>42240</v>
      </c>
      <c r="O17" t="n">
        <v>19200</v>
      </c>
      <c r="P17" t="n">
        <v>238080</v>
      </c>
      <c r="Q17" t="n">
        <v>6820</v>
      </c>
      <c r="R17" t="n">
        <v>210490</v>
      </c>
      <c r="S17" t="n">
        <v>129010</v>
      </c>
      <c r="T17" t="n">
        <v>0.38</v>
      </c>
      <c r="U17" t="n">
        <v>0.2987334315169367</v>
      </c>
    </row>
    <row r="18">
      <c r="A18" t="n">
        <v>17</v>
      </c>
      <c r="B18" t="inlineStr">
        <is>
          <t>Feb-2023</t>
        </is>
      </c>
      <c r="C18" t="inlineStr">
        <is>
          <t>Shafts</t>
        </is>
      </c>
      <c r="D18" t="inlineStr">
        <is>
          <t>West</t>
        </is>
      </c>
      <c r="E18" t="n">
        <v>730</v>
      </c>
      <c r="F18" t="n">
        <v>20</v>
      </c>
      <c r="G18" t="n">
        <v>646</v>
      </c>
      <c r="H18" t="n">
        <v>450</v>
      </c>
      <c r="I18" t="n">
        <v>220</v>
      </c>
      <c r="J18" t="n">
        <v>50</v>
      </c>
      <c r="K18" t="n">
        <v>22</v>
      </c>
      <c r="L18" t="n">
        <v>290700</v>
      </c>
      <c r="M18" t="n">
        <v>160600</v>
      </c>
      <c r="N18" t="n">
        <v>36500</v>
      </c>
      <c r="O18" t="n">
        <v>16060</v>
      </c>
      <c r="P18" t="n">
        <v>213160</v>
      </c>
      <c r="Q18" t="n">
        <v>5840</v>
      </c>
      <c r="R18" t="n">
        <v>188632</v>
      </c>
      <c r="S18" t="n">
        <v>102068</v>
      </c>
      <c r="T18" t="n">
        <v>0.3511111111111111</v>
      </c>
      <c r="U18" t="n">
        <v>0.2667354661162711</v>
      </c>
    </row>
    <row r="19">
      <c r="A19" t="n">
        <v>18</v>
      </c>
      <c r="B19" t="inlineStr">
        <is>
          <t>Feb-2023</t>
        </is>
      </c>
      <c r="C19" t="inlineStr">
        <is>
          <t>Bearings</t>
        </is>
      </c>
      <c r="D19" t="inlineStr">
        <is>
          <t>West</t>
        </is>
      </c>
      <c r="E19" t="n">
        <v>749</v>
      </c>
      <c r="F19" t="n">
        <v>22</v>
      </c>
      <c r="G19" t="n">
        <v>662</v>
      </c>
      <c r="H19" t="n">
        <v>400</v>
      </c>
      <c r="I19" t="n">
        <v>210</v>
      </c>
      <c r="J19" t="n">
        <v>48</v>
      </c>
      <c r="K19" t="n">
        <v>20</v>
      </c>
      <c r="L19" t="n">
        <v>264800</v>
      </c>
      <c r="M19" t="n">
        <v>157290</v>
      </c>
      <c r="N19" t="n">
        <v>35952</v>
      </c>
      <c r="O19" t="n">
        <v>14980</v>
      </c>
      <c r="P19" t="n">
        <v>208222</v>
      </c>
      <c r="Q19" t="n">
        <v>6116</v>
      </c>
      <c r="R19" t="n">
        <v>184036</v>
      </c>
      <c r="S19" t="n">
        <v>80764</v>
      </c>
      <c r="T19" t="n">
        <v>0.305</v>
      </c>
      <c r="U19" t="n">
        <v>0.2136631419939577</v>
      </c>
    </row>
    <row r="20">
      <c r="A20" t="n">
        <v>19</v>
      </c>
      <c r="B20" t="inlineStr">
        <is>
          <t>Mar-2023</t>
        </is>
      </c>
      <c r="C20" t="inlineStr">
        <is>
          <t>Gears</t>
        </is>
      </c>
      <c r="D20" t="inlineStr">
        <is>
          <t>North</t>
        </is>
      </c>
      <c r="E20" t="n">
        <v>840</v>
      </c>
      <c r="F20" t="n">
        <v>24</v>
      </c>
      <c r="G20" t="n">
        <v>743</v>
      </c>
      <c r="H20" t="n">
        <v>500</v>
      </c>
      <c r="I20" t="n">
        <v>230</v>
      </c>
      <c r="J20" t="n">
        <v>55</v>
      </c>
      <c r="K20" t="n">
        <v>25</v>
      </c>
      <c r="L20" t="n">
        <v>371500</v>
      </c>
      <c r="M20" t="n">
        <v>193200</v>
      </c>
      <c r="N20" t="n">
        <v>46200</v>
      </c>
      <c r="O20" t="n">
        <v>21000</v>
      </c>
      <c r="P20" t="n">
        <v>260400</v>
      </c>
      <c r="Q20" t="n">
        <v>7440</v>
      </c>
      <c r="R20" t="n">
        <v>230330</v>
      </c>
      <c r="S20" t="n">
        <v>141170</v>
      </c>
      <c r="T20" t="n">
        <v>0.38</v>
      </c>
      <c r="U20" t="n">
        <v>0.2990578734858681</v>
      </c>
    </row>
    <row r="21">
      <c r="A21" t="n">
        <v>20</v>
      </c>
      <c r="B21" t="inlineStr">
        <is>
          <t>Mar-2023</t>
        </is>
      </c>
      <c r="C21" t="inlineStr">
        <is>
          <t>Shafts</t>
        </is>
      </c>
      <c r="D21" t="inlineStr">
        <is>
          <t>North</t>
        </is>
      </c>
      <c r="E21" t="n">
        <v>798</v>
      </c>
      <c r="F21" t="n">
        <v>22</v>
      </c>
      <c r="G21" t="n">
        <v>706</v>
      </c>
      <c r="H21" t="n">
        <v>450</v>
      </c>
      <c r="I21" t="n">
        <v>220</v>
      </c>
      <c r="J21" t="n">
        <v>50</v>
      </c>
      <c r="K21" t="n">
        <v>22</v>
      </c>
      <c r="L21" t="n">
        <v>317700</v>
      </c>
      <c r="M21" t="n">
        <v>175560</v>
      </c>
      <c r="N21" t="n">
        <v>39900</v>
      </c>
      <c r="O21" t="n">
        <v>17556</v>
      </c>
      <c r="P21" t="n">
        <v>233016</v>
      </c>
      <c r="Q21" t="n">
        <v>6424</v>
      </c>
      <c r="R21" t="n">
        <v>206152</v>
      </c>
      <c r="S21" t="n">
        <v>111548</v>
      </c>
      <c r="T21" t="n">
        <v>0.3511111111111111</v>
      </c>
      <c r="U21" t="n">
        <v>0.2665533522190746</v>
      </c>
    </row>
    <row r="22">
      <c r="A22" t="n">
        <v>21</v>
      </c>
      <c r="B22" t="inlineStr">
        <is>
          <t>Mar-2023</t>
        </is>
      </c>
      <c r="C22" t="inlineStr">
        <is>
          <t>Bearings</t>
        </is>
      </c>
      <c r="D22" t="inlineStr">
        <is>
          <t>North</t>
        </is>
      </c>
      <c r="E22" t="n">
        <v>819</v>
      </c>
      <c r="F22" t="n">
        <v>25</v>
      </c>
      <c r="G22" t="n">
        <v>723</v>
      </c>
      <c r="H22" t="n">
        <v>400</v>
      </c>
      <c r="I22" t="n">
        <v>210</v>
      </c>
      <c r="J22" t="n">
        <v>48</v>
      </c>
      <c r="K22" t="n">
        <v>20</v>
      </c>
      <c r="L22" t="n">
        <v>289200</v>
      </c>
      <c r="M22" t="n">
        <v>171990</v>
      </c>
      <c r="N22" t="n">
        <v>39312</v>
      </c>
      <c r="O22" t="n">
        <v>16380</v>
      </c>
      <c r="P22" t="n">
        <v>227682</v>
      </c>
      <c r="Q22" t="n">
        <v>6950</v>
      </c>
      <c r="R22" t="n">
        <v>200994</v>
      </c>
      <c r="S22" t="n">
        <v>88206</v>
      </c>
      <c r="T22" t="n">
        <v>0.305</v>
      </c>
      <c r="U22" t="n">
        <v>0.2127178423236515</v>
      </c>
    </row>
    <row r="23">
      <c r="A23" t="n">
        <v>22</v>
      </c>
      <c r="B23" t="inlineStr">
        <is>
          <t>Mar-2023</t>
        </is>
      </c>
      <c r="C23" t="inlineStr">
        <is>
          <t>Gears</t>
        </is>
      </c>
      <c r="D23" t="inlineStr">
        <is>
          <t>South</t>
        </is>
      </c>
      <c r="E23" t="n">
        <v>760</v>
      </c>
      <c r="F23" t="n">
        <v>21</v>
      </c>
      <c r="G23" t="n">
        <v>672</v>
      </c>
      <c r="H23" t="n">
        <v>500</v>
      </c>
      <c r="I23" t="n">
        <v>230</v>
      </c>
      <c r="J23" t="n">
        <v>55</v>
      </c>
      <c r="K23" t="n">
        <v>25</v>
      </c>
      <c r="L23" t="n">
        <v>336000</v>
      </c>
      <c r="M23" t="n">
        <v>174800</v>
      </c>
      <c r="N23" t="n">
        <v>41800</v>
      </c>
      <c r="O23" t="n">
        <v>19000</v>
      </c>
      <c r="P23" t="n">
        <v>235600</v>
      </c>
      <c r="Q23" t="n">
        <v>6510</v>
      </c>
      <c r="R23" t="n">
        <v>208320</v>
      </c>
      <c r="S23" t="n">
        <v>127680</v>
      </c>
      <c r="T23" t="n">
        <v>0.38</v>
      </c>
      <c r="U23" t="n">
        <v>0.2988095238095238</v>
      </c>
    </row>
    <row r="24">
      <c r="A24" t="n">
        <v>23</v>
      </c>
      <c r="B24" t="inlineStr">
        <is>
          <t>Mar-2023</t>
        </is>
      </c>
      <c r="C24" t="inlineStr">
        <is>
          <t>Shafts</t>
        </is>
      </c>
      <c r="D24" t="inlineStr">
        <is>
          <t>South</t>
        </is>
      </c>
      <c r="E24" t="n">
        <v>722</v>
      </c>
      <c r="F24" t="n">
        <v>19</v>
      </c>
      <c r="G24" t="n">
        <v>640</v>
      </c>
      <c r="H24" t="n">
        <v>450</v>
      </c>
      <c r="I24" t="n">
        <v>220</v>
      </c>
      <c r="J24" t="n">
        <v>50</v>
      </c>
      <c r="K24" t="n">
        <v>22</v>
      </c>
      <c r="L24" t="n">
        <v>288000</v>
      </c>
      <c r="M24" t="n">
        <v>158840</v>
      </c>
      <c r="N24" t="n">
        <v>36100</v>
      </c>
      <c r="O24" t="n">
        <v>15884</v>
      </c>
      <c r="P24" t="n">
        <v>210824</v>
      </c>
      <c r="Q24" t="n">
        <v>5548</v>
      </c>
      <c r="R24" t="n">
        <v>186880</v>
      </c>
      <c r="S24" t="n">
        <v>101120</v>
      </c>
      <c r="T24" t="n">
        <v>0.3511111111111111</v>
      </c>
      <c r="U24" t="n">
        <v>0.2679722222222222</v>
      </c>
    </row>
    <row r="25">
      <c r="A25" t="n">
        <v>24</v>
      </c>
      <c r="B25" t="inlineStr">
        <is>
          <t>Mar-2023</t>
        </is>
      </c>
      <c r="C25" t="inlineStr">
        <is>
          <t>Bearings</t>
        </is>
      </c>
      <c r="D25" t="inlineStr">
        <is>
          <t>South</t>
        </is>
      </c>
      <c r="E25" t="n">
        <v>741</v>
      </c>
      <c r="F25" t="n">
        <v>22</v>
      </c>
      <c r="G25" t="n">
        <v>654</v>
      </c>
      <c r="H25" t="n">
        <v>400</v>
      </c>
      <c r="I25" t="n">
        <v>210</v>
      </c>
      <c r="J25" t="n">
        <v>48</v>
      </c>
      <c r="K25" t="n">
        <v>20</v>
      </c>
      <c r="L25" t="n">
        <v>261600</v>
      </c>
      <c r="M25" t="n">
        <v>155610</v>
      </c>
      <c r="N25" t="n">
        <v>35568</v>
      </c>
      <c r="O25" t="n">
        <v>14820</v>
      </c>
      <c r="P25" t="n">
        <v>205998</v>
      </c>
      <c r="Q25" t="n">
        <v>6116</v>
      </c>
      <c r="R25" t="n">
        <v>181812</v>
      </c>
      <c r="S25" t="n">
        <v>79788</v>
      </c>
      <c r="T25" t="n">
        <v>0.305</v>
      </c>
      <c r="U25" t="n">
        <v>0.212545871559633</v>
      </c>
    </row>
    <row r="26">
      <c r="A26" t="n">
        <v>25</v>
      </c>
      <c r="B26" t="inlineStr">
        <is>
          <t>Mar-2023</t>
        </is>
      </c>
      <c r="C26" t="inlineStr">
        <is>
          <t>Gears</t>
        </is>
      </c>
      <c r="D26" t="inlineStr">
        <is>
          <t>West</t>
        </is>
      </c>
      <c r="E26" t="n">
        <v>800</v>
      </c>
      <c r="F26" t="n">
        <v>22</v>
      </c>
      <c r="G26" t="n">
        <v>708</v>
      </c>
      <c r="H26" t="n">
        <v>500</v>
      </c>
      <c r="I26" t="n">
        <v>230</v>
      </c>
      <c r="J26" t="n">
        <v>55</v>
      </c>
      <c r="K26" t="n">
        <v>25</v>
      </c>
      <c r="L26" t="n">
        <v>354000</v>
      </c>
      <c r="M26" t="n">
        <v>184000</v>
      </c>
      <c r="N26" t="n">
        <v>44000</v>
      </c>
      <c r="O26" t="n">
        <v>20000</v>
      </c>
      <c r="P26" t="n">
        <v>248000</v>
      </c>
      <c r="Q26" t="n">
        <v>6820</v>
      </c>
      <c r="R26" t="n">
        <v>219480</v>
      </c>
      <c r="S26" t="n">
        <v>134520</v>
      </c>
      <c r="T26" t="n">
        <v>0.38</v>
      </c>
      <c r="U26" t="n">
        <v>0.2994350282485876</v>
      </c>
    </row>
    <row r="27">
      <c r="A27" t="n">
        <v>26</v>
      </c>
      <c r="B27" t="inlineStr">
        <is>
          <t>Mar-2023</t>
        </is>
      </c>
      <c r="C27" t="inlineStr">
        <is>
          <t>Shafts</t>
        </is>
      </c>
      <c r="D27" t="inlineStr">
        <is>
          <t>West</t>
        </is>
      </c>
      <c r="E27" t="n">
        <v>760</v>
      </c>
      <c r="F27" t="n">
        <v>21</v>
      </c>
      <c r="G27" t="n">
        <v>672</v>
      </c>
      <c r="H27" t="n">
        <v>450</v>
      </c>
      <c r="I27" t="n">
        <v>220</v>
      </c>
      <c r="J27" t="n">
        <v>50</v>
      </c>
      <c r="K27" t="n">
        <v>22</v>
      </c>
      <c r="L27" t="n">
        <v>302400</v>
      </c>
      <c r="M27" t="n">
        <v>167200</v>
      </c>
      <c r="N27" t="n">
        <v>38000</v>
      </c>
      <c r="O27" t="n">
        <v>16720</v>
      </c>
      <c r="P27" t="n">
        <v>221920</v>
      </c>
      <c r="Q27" t="n">
        <v>6132</v>
      </c>
      <c r="R27" t="n">
        <v>196224</v>
      </c>
      <c r="S27" t="n">
        <v>106176</v>
      </c>
      <c r="T27" t="n">
        <v>0.3511111111111111</v>
      </c>
      <c r="U27" t="n">
        <v>0.2661375661375661</v>
      </c>
    </row>
    <row r="28">
      <c r="A28" t="n">
        <v>27</v>
      </c>
      <c r="B28" t="inlineStr">
        <is>
          <t>Mar-2023</t>
        </is>
      </c>
      <c r="C28" t="inlineStr">
        <is>
          <t>Bearings</t>
        </is>
      </c>
      <c r="D28" t="inlineStr">
        <is>
          <t>West</t>
        </is>
      </c>
      <c r="E28" t="n">
        <v>780</v>
      </c>
      <c r="F28" t="n">
        <v>23</v>
      </c>
      <c r="G28" t="n">
        <v>689</v>
      </c>
      <c r="H28" t="n">
        <v>400</v>
      </c>
      <c r="I28" t="n">
        <v>210</v>
      </c>
      <c r="J28" t="n">
        <v>48</v>
      </c>
      <c r="K28" t="n">
        <v>20</v>
      </c>
      <c r="L28" t="n">
        <v>275600</v>
      </c>
      <c r="M28" t="n">
        <v>163800</v>
      </c>
      <c r="N28" t="n">
        <v>37440</v>
      </c>
      <c r="O28" t="n">
        <v>15600</v>
      </c>
      <c r="P28" t="n">
        <v>216840</v>
      </c>
      <c r="Q28" t="n">
        <v>6394</v>
      </c>
      <c r="R28" t="n">
        <v>191542</v>
      </c>
      <c r="S28" t="n">
        <v>84058</v>
      </c>
      <c r="T28" t="n">
        <v>0.305</v>
      </c>
      <c r="U28" t="n">
        <v>0.2132075471698113</v>
      </c>
    </row>
    <row r="29">
      <c r="A29" t="n">
        <v>28</v>
      </c>
      <c r="B29" t="inlineStr">
        <is>
          <t>Apr-2023</t>
        </is>
      </c>
      <c r="C29" t="inlineStr">
        <is>
          <t>Gears</t>
        </is>
      </c>
      <c r="D29" t="inlineStr">
        <is>
          <t>North</t>
        </is>
      </c>
      <c r="E29" t="n">
        <v>874</v>
      </c>
      <c r="F29" t="n">
        <v>24</v>
      </c>
      <c r="G29" t="n">
        <v>774</v>
      </c>
      <c r="H29" t="n">
        <v>500</v>
      </c>
      <c r="I29" t="n">
        <v>230</v>
      </c>
      <c r="J29" t="n">
        <v>55</v>
      </c>
      <c r="K29" t="n">
        <v>25</v>
      </c>
      <c r="L29" t="n">
        <v>387000</v>
      </c>
      <c r="M29" t="n">
        <v>201020</v>
      </c>
      <c r="N29" t="n">
        <v>48070</v>
      </c>
      <c r="O29" t="n">
        <v>21850</v>
      </c>
      <c r="P29" t="n">
        <v>270940</v>
      </c>
      <c r="Q29" t="n">
        <v>7440</v>
      </c>
      <c r="R29" t="n">
        <v>239940</v>
      </c>
      <c r="S29" t="n">
        <v>147060</v>
      </c>
      <c r="T29" t="n">
        <v>0.38</v>
      </c>
      <c r="U29" t="n">
        <v>0.2998966408268734</v>
      </c>
    </row>
    <row r="30">
      <c r="A30" t="n">
        <v>29</v>
      </c>
      <c r="B30" t="inlineStr">
        <is>
          <t>Apr-2023</t>
        </is>
      </c>
      <c r="C30" t="inlineStr">
        <is>
          <t>Shafts</t>
        </is>
      </c>
      <c r="D30" t="inlineStr">
        <is>
          <t>North</t>
        </is>
      </c>
      <c r="E30" t="n">
        <v>830</v>
      </c>
      <c r="F30" t="n">
        <v>22</v>
      </c>
      <c r="G30" t="n">
        <v>735</v>
      </c>
      <c r="H30" t="n">
        <v>450</v>
      </c>
      <c r="I30" t="n">
        <v>220</v>
      </c>
      <c r="J30" t="n">
        <v>50</v>
      </c>
      <c r="K30" t="n">
        <v>22</v>
      </c>
      <c r="L30" t="n">
        <v>330750</v>
      </c>
      <c r="M30" t="n">
        <v>182600</v>
      </c>
      <c r="N30" t="n">
        <v>41500</v>
      </c>
      <c r="O30" t="n">
        <v>18260</v>
      </c>
      <c r="P30" t="n">
        <v>242360</v>
      </c>
      <c r="Q30" t="n">
        <v>6424</v>
      </c>
      <c r="R30" t="n">
        <v>214620</v>
      </c>
      <c r="S30" t="n">
        <v>116130</v>
      </c>
      <c r="T30" t="n">
        <v>0.3511111111111111</v>
      </c>
      <c r="U30" t="n">
        <v>0.2672411186696901</v>
      </c>
    </row>
    <row r="31">
      <c r="A31" t="n">
        <v>30</v>
      </c>
      <c r="B31" t="inlineStr">
        <is>
          <t>Apr-2023</t>
        </is>
      </c>
      <c r="C31" t="inlineStr">
        <is>
          <t>Bearings</t>
        </is>
      </c>
      <c r="D31" t="inlineStr">
        <is>
          <t>North</t>
        </is>
      </c>
      <c r="E31" t="n">
        <v>852</v>
      </c>
      <c r="F31" t="n">
        <v>26</v>
      </c>
      <c r="G31" t="n">
        <v>752</v>
      </c>
      <c r="H31" t="n">
        <v>400</v>
      </c>
      <c r="I31" t="n">
        <v>210</v>
      </c>
      <c r="J31" t="n">
        <v>48</v>
      </c>
      <c r="K31" t="n">
        <v>20</v>
      </c>
      <c r="L31" t="n">
        <v>300800</v>
      </c>
      <c r="M31" t="n">
        <v>178920</v>
      </c>
      <c r="N31" t="n">
        <v>40896</v>
      </c>
      <c r="O31" t="n">
        <v>17040</v>
      </c>
      <c r="P31" t="n">
        <v>236856</v>
      </c>
      <c r="Q31" t="n">
        <v>7228</v>
      </c>
      <c r="R31" t="n">
        <v>209056</v>
      </c>
      <c r="S31" t="n">
        <v>91744</v>
      </c>
      <c r="T31" t="n">
        <v>0.305</v>
      </c>
      <c r="U31" t="n">
        <v>0.2125797872340426</v>
      </c>
    </row>
    <row r="32">
      <c r="A32" t="n">
        <v>31</v>
      </c>
      <c r="B32" t="inlineStr">
        <is>
          <t>Apr-2023</t>
        </is>
      </c>
      <c r="C32" t="inlineStr">
        <is>
          <t>Gears</t>
        </is>
      </c>
      <c r="D32" t="inlineStr">
        <is>
          <t>South</t>
        </is>
      </c>
      <c r="E32" t="n">
        <v>790</v>
      </c>
      <c r="F32" t="n">
        <v>22</v>
      </c>
      <c r="G32" t="n">
        <v>699</v>
      </c>
      <c r="H32" t="n">
        <v>500</v>
      </c>
      <c r="I32" t="n">
        <v>230</v>
      </c>
      <c r="J32" t="n">
        <v>55</v>
      </c>
      <c r="K32" t="n">
        <v>25</v>
      </c>
      <c r="L32" t="n">
        <v>349500</v>
      </c>
      <c r="M32" t="n">
        <v>181700</v>
      </c>
      <c r="N32" t="n">
        <v>43450</v>
      </c>
      <c r="O32" t="n">
        <v>19750</v>
      </c>
      <c r="P32" t="n">
        <v>244900</v>
      </c>
      <c r="Q32" t="n">
        <v>6820</v>
      </c>
      <c r="R32" t="n">
        <v>216690</v>
      </c>
      <c r="S32" t="n">
        <v>132810</v>
      </c>
      <c r="T32" t="n">
        <v>0.38</v>
      </c>
      <c r="U32" t="n">
        <v>0.2992846924177396</v>
      </c>
    </row>
    <row r="33">
      <c r="A33" t="n">
        <v>32</v>
      </c>
      <c r="B33" t="inlineStr">
        <is>
          <t>Apr-2023</t>
        </is>
      </c>
      <c r="C33" t="inlineStr">
        <is>
          <t>Shafts</t>
        </is>
      </c>
      <c r="D33" t="inlineStr">
        <is>
          <t>South</t>
        </is>
      </c>
      <c r="E33" t="n">
        <v>751</v>
      </c>
      <c r="F33" t="n">
        <v>20</v>
      </c>
      <c r="G33" t="n">
        <v>665</v>
      </c>
      <c r="H33" t="n">
        <v>450</v>
      </c>
      <c r="I33" t="n">
        <v>220</v>
      </c>
      <c r="J33" t="n">
        <v>50</v>
      </c>
      <c r="K33" t="n">
        <v>22</v>
      </c>
      <c r="L33" t="n">
        <v>299250</v>
      </c>
      <c r="M33" t="n">
        <v>165220</v>
      </c>
      <c r="N33" t="n">
        <v>37550</v>
      </c>
      <c r="O33" t="n">
        <v>16522</v>
      </c>
      <c r="P33" t="n">
        <v>219292</v>
      </c>
      <c r="Q33" t="n">
        <v>5840</v>
      </c>
      <c r="R33" t="n">
        <v>194180</v>
      </c>
      <c r="S33" t="n">
        <v>105070</v>
      </c>
      <c r="T33" t="n">
        <v>0.3511111111111111</v>
      </c>
      <c r="U33" t="n">
        <v>0.2671946532999165</v>
      </c>
    </row>
    <row r="34">
      <c r="A34" t="n">
        <v>33</v>
      </c>
      <c r="B34" t="inlineStr">
        <is>
          <t>Apr-2023</t>
        </is>
      </c>
      <c r="C34" t="inlineStr">
        <is>
          <t>Bearings</t>
        </is>
      </c>
      <c r="D34" t="inlineStr">
        <is>
          <t>South</t>
        </is>
      </c>
      <c r="E34" t="n">
        <v>771</v>
      </c>
      <c r="F34" t="n">
        <v>23</v>
      </c>
      <c r="G34" t="n">
        <v>681</v>
      </c>
      <c r="H34" t="n">
        <v>400</v>
      </c>
      <c r="I34" t="n">
        <v>210</v>
      </c>
      <c r="J34" t="n">
        <v>48</v>
      </c>
      <c r="K34" t="n">
        <v>20</v>
      </c>
      <c r="L34" t="n">
        <v>272400</v>
      </c>
      <c r="M34" t="n">
        <v>161910</v>
      </c>
      <c r="N34" t="n">
        <v>37008</v>
      </c>
      <c r="O34" t="n">
        <v>15420</v>
      </c>
      <c r="P34" t="n">
        <v>214338</v>
      </c>
      <c r="Q34" t="n">
        <v>6394</v>
      </c>
      <c r="R34" t="n">
        <v>189318</v>
      </c>
      <c r="S34" t="n">
        <v>83082</v>
      </c>
      <c r="T34" t="n">
        <v>0.305</v>
      </c>
      <c r="U34" t="n">
        <v>0.2131497797356828</v>
      </c>
    </row>
    <row r="35">
      <c r="A35" t="n">
        <v>34</v>
      </c>
      <c r="B35" t="inlineStr">
        <is>
          <t>Apr-2023</t>
        </is>
      </c>
      <c r="C35" t="inlineStr">
        <is>
          <t>Gears</t>
        </is>
      </c>
      <c r="D35" t="inlineStr">
        <is>
          <t>West</t>
        </is>
      </c>
      <c r="E35" t="n">
        <v>832</v>
      </c>
      <c r="F35" t="n">
        <v>23</v>
      </c>
      <c r="G35" t="n">
        <v>736</v>
      </c>
      <c r="H35" t="n">
        <v>500</v>
      </c>
      <c r="I35" t="n">
        <v>230</v>
      </c>
      <c r="J35" t="n">
        <v>55</v>
      </c>
      <c r="K35" t="n">
        <v>25</v>
      </c>
      <c r="L35" t="n">
        <v>368000</v>
      </c>
      <c r="M35" t="n">
        <v>191360</v>
      </c>
      <c r="N35" t="n">
        <v>45760</v>
      </c>
      <c r="O35" t="n">
        <v>20800</v>
      </c>
      <c r="P35" t="n">
        <v>257920</v>
      </c>
      <c r="Q35" t="n">
        <v>7130</v>
      </c>
      <c r="R35" t="n">
        <v>228160</v>
      </c>
      <c r="S35" t="n">
        <v>139840</v>
      </c>
      <c r="T35" t="n">
        <v>0.38</v>
      </c>
      <c r="U35" t="n">
        <v>0.2991304347826087</v>
      </c>
    </row>
    <row r="36">
      <c r="A36" t="n">
        <v>35</v>
      </c>
      <c r="B36" t="inlineStr">
        <is>
          <t>Apr-2023</t>
        </is>
      </c>
      <c r="C36" t="inlineStr">
        <is>
          <t>Shafts</t>
        </is>
      </c>
      <c r="D36" t="inlineStr">
        <is>
          <t>West</t>
        </is>
      </c>
      <c r="E36" t="n">
        <v>790</v>
      </c>
      <c r="F36" t="n">
        <v>21</v>
      </c>
      <c r="G36" t="n">
        <v>700</v>
      </c>
      <c r="H36" t="n">
        <v>450</v>
      </c>
      <c r="I36" t="n">
        <v>220</v>
      </c>
      <c r="J36" t="n">
        <v>50</v>
      </c>
      <c r="K36" t="n">
        <v>22</v>
      </c>
      <c r="L36" t="n">
        <v>315000</v>
      </c>
      <c r="M36" t="n">
        <v>173800</v>
      </c>
      <c r="N36" t="n">
        <v>39500</v>
      </c>
      <c r="O36" t="n">
        <v>17380</v>
      </c>
      <c r="P36" t="n">
        <v>230680</v>
      </c>
      <c r="Q36" t="n">
        <v>6132</v>
      </c>
      <c r="R36" t="n">
        <v>204400</v>
      </c>
      <c r="S36" t="n">
        <v>110600</v>
      </c>
      <c r="T36" t="n">
        <v>0.3511111111111111</v>
      </c>
      <c r="U36" t="n">
        <v>0.2676825396825397</v>
      </c>
    </row>
    <row r="37">
      <c r="A37" t="n">
        <v>36</v>
      </c>
      <c r="B37" t="inlineStr">
        <is>
          <t>Apr-2023</t>
        </is>
      </c>
      <c r="C37" t="inlineStr">
        <is>
          <t>Bearings</t>
        </is>
      </c>
      <c r="D37" t="inlineStr">
        <is>
          <t>West</t>
        </is>
      </c>
      <c r="E37" t="n">
        <v>811</v>
      </c>
      <c r="F37" t="n">
        <v>24</v>
      </c>
      <c r="G37" t="n">
        <v>716</v>
      </c>
      <c r="H37" t="n">
        <v>400</v>
      </c>
      <c r="I37" t="n">
        <v>210</v>
      </c>
      <c r="J37" t="n">
        <v>48</v>
      </c>
      <c r="K37" t="n">
        <v>20</v>
      </c>
      <c r="L37" t="n">
        <v>286400</v>
      </c>
      <c r="M37" t="n">
        <v>170310</v>
      </c>
      <c r="N37" t="n">
        <v>38928</v>
      </c>
      <c r="O37" t="n">
        <v>16220</v>
      </c>
      <c r="P37" t="n">
        <v>225458</v>
      </c>
      <c r="Q37" t="n">
        <v>6672</v>
      </c>
      <c r="R37" t="n">
        <v>199048</v>
      </c>
      <c r="S37" t="n">
        <v>87352</v>
      </c>
      <c r="T37" t="n">
        <v>0.305</v>
      </c>
      <c r="U37" t="n">
        <v>0.212786312849162</v>
      </c>
    </row>
    <row r="38">
      <c r="A38" t="n">
        <v>37</v>
      </c>
      <c r="B38" t="inlineStr">
        <is>
          <t>May-2023</t>
        </is>
      </c>
      <c r="C38" t="inlineStr">
        <is>
          <t>Gears</t>
        </is>
      </c>
      <c r="D38" t="inlineStr">
        <is>
          <t>North</t>
        </is>
      </c>
      <c r="E38" t="n">
        <v>907</v>
      </c>
      <c r="F38" t="n">
        <v>25</v>
      </c>
      <c r="G38" t="n">
        <v>803</v>
      </c>
      <c r="H38" t="n">
        <v>500</v>
      </c>
      <c r="I38" t="n">
        <v>230</v>
      </c>
      <c r="J38" t="n">
        <v>55</v>
      </c>
      <c r="K38" t="n">
        <v>25</v>
      </c>
      <c r="L38" t="n">
        <v>401500</v>
      </c>
      <c r="M38" t="n">
        <v>208610</v>
      </c>
      <c r="N38" t="n">
        <v>49885</v>
      </c>
      <c r="O38" t="n">
        <v>22675</v>
      </c>
      <c r="P38" t="n">
        <v>281170</v>
      </c>
      <c r="Q38" t="n">
        <v>7750</v>
      </c>
      <c r="R38" t="n">
        <v>248930</v>
      </c>
      <c r="S38" t="n">
        <v>152570</v>
      </c>
      <c r="T38" t="n">
        <v>0.38</v>
      </c>
      <c r="U38" t="n">
        <v>0.2997011207970112</v>
      </c>
    </row>
    <row r="39">
      <c r="A39" t="n">
        <v>38</v>
      </c>
      <c r="B39" t="inlineStr">
        <is>
          <t>May-2023</t>
        </is>
      </c>
      <c r="C39" t="inlineStr">
        <is>
          <t>Shafts</t>
        </is>
      </c>
      <c r="D39" t="inlineStr">
        <is>
          <t>North</t>
        </is>
      </c>
      <c r="E39" t="n">
        <v>862</v>
      </c>
      <c r="F39" t="n">
        <v>23</v>
      </c>
      <c r="G39" t="n">
        <v>763</v>
      </c>
      <c r="H39" t="n">
        <v>450</v>
      </c>
      <c r="I39" t="n">
        <v>220</v>
      </c>
      <c r="J39" t="n">
        <v>50</v>
      </c>
      <c r="K39" t="n">
        <v>22</v>
      </c>
      <c r="L39" t="n">
        <v>343350</v>
      </c>
      <c r="M39" t="n">
        <v>189640</v>
      </c>
      <c r="N39" t="n">
        <v>43100</v>
      </c>
      <c r="O39" t="n">
        <v>18964</v>
      </c>
      <c r="P39" t="n">
        <v>251704</v>
      </c>
      <c r="Q39" t="n">
        <v>6716</v>
      </c>
      <c r="R39" t="n">
        <v>222796</v>
      </c>
      <c r="S39" t="n">
        <v>120554</v>
      </c>
      <c r="T39" t="n">
        <v>0.3511111111111111</v>
      </c>
      <c r="U39" t="n">
        <v>0.2669171399446629</v>
      </c>
    </row>
    <row r="40">
      <c r="A40" t="n">
        <v>39</v>
      </c>
      <c r="B40" t="inlineStr">
        <is>
          <t>May-2023</t>
        </is>
      </c>
      <c r="C40" t="inlineStr">
        <is>
          <t>Bearings</t>
        </is>
      </c>
      <c r="D40" t="inlineStr">
        <is>
          <t>North</t>
        </is>
      </c>
      <c r="E40" t="n">
        <v>885</v>
      </c>
      <c r="F40" t="n">
        <v>27</v>
      </c>
      <c r="G40" t="n">
        <v>781</v>
      </c>
      <c r="H40" t="n">
        <v>400</v>
      </c>
      <c r="I40" t="n">
        <v>210</v>
      </c>
      <c r="J40" t="n">
        <v>48</v>
      </c>
      <c r="K40" t="n">
        <v>20</v>
      </c>
      <c r="L40" t="n">
        <v>312400</v>
      </c>
      <c r="M40" t="n">
        <v>185850</v>
      </c>
      <c r="N40" t="n">
        <v>42480</v>
      </c>
      <c r="O40" t="n">
        <v>17700</v>
      </c>
      <c r="P40" t="n">
        <v>246030</v>
      </c>
      <c r="Q40" t="n">
        <v>7506</v>
      </c>
      <c r="R40" t="n">
        <v>217118</v>
      </c>
      <c r="S40" t="n">
        <v>95282</v>
      </c>
      <c r="T40" t="n">
        <v>0.305</v>
      </c>
      <c r="U40" t="n">
        <v>0.2124519846350832</v>
      </c>
    </row>
    <row r="41">
      <c r="A41" t="n">
        <v>40</v>
      </c>
      <c r="B41" t="inlineStr">
        <is>
          <t>May-2023</t>
        </is>
      </c>
      <c r="C41" t="inlineStr">
        <is>
          <t>Gears</t>
        </is>
      </c>
      <c r="D41" t="inlineStr">
        <is>
          <t>South</t>
        </is>
      </c>
      <c r="E41" t="n">
        <v>821</v>
      </c>
      <c r="F41" t="n">
        <v>23</v>
      </c>
      <c r="G41" t="n">
        <v>726</v>
      </c>
      <c r="H41" t="n">
        <v>500</v>
      </c>
      <c r="I41" t="n">
        <v>230</v>
      </c>
      <c r="J41" t="n">
        <v>55</v>
      </c>
      <c r="K41" t="n">
        <v>25</v>
      </c>
      <c r="L41" t="n">
        <v>363000</v>
      </c>
      <c r="M41" t="n">
        <v>188830</v>
      </c>
      <c r="N41" t="n">
        <v>45155</v>
      </c>
      <c r="O41" t="n">
        <v>20525</v>
      </c>
      <c r="P41" t="n">
        <v>254510</v>
      </c>
      <c r="Q41" t="n">
        <v>7130</v>
      </c>
      <c r="R41" t="n">
        <v>225060</v>
      </c>
      <c r="S41" t="n">
        <v>137940</v>
      </c>
      <c r="T41" t="n">
        <v>0.38</v>
      </c>
      <c r="U41" t="n">
        <v>0.298870523415978</v>
      </c>
    </row>
    <row r="42">
      <c r="A42" t="n">
        <v>41</v>
      </c>
      <c r="B42" t="inlineStr">
        <is>
          <t>May-2023</t>
        </is>
      </c>
      <c r="C42" t="inlineStr">
        <is>
          <t>Shafts</t>
        </is>
      </c>
      <c r="D42" t="inlineStr">
        <is>
          <t>South</t>
        </is>
      </c>
      <c r="E42" t="n">
        <v>780</v>
      </c>
      <c r="F42" t="n">
        <v>21</v>
      </c>
      <c r="G42" t="n">
        <v>691</v>
      </c>
      <c r="H42" t="n">
        <v>450</v>
      </c>
      <c r="I42" t="n">
        <v>220</v>
      </c>
      <c r="J42" t="n">
        <v>50</v>
      </c>
      <c r="K42" t="n">
        <v>22</v>
      </c>
      <c r="L42" t="n">
        <v>310950</v>
      </c>
      <c r="M42" t="n">
        <v>171600</v>
      </c>
      <c r="N42" t="n">
        <v>39000</v>
      </c>
      <c r="O42" t="n">
        <v>17160</v>
      </c>
      <c r="P42" t="n">
        <v>227760</v>
      </c>
      <c r="Q42" t="n">
        <v>6132</v>
      </c>
      <c r="R42" t="n">
        <v>201772</v>
      </c>
      <c r="S42" t="n">
        <v>109178</v>
      </c>
      <c r="T42" t="n">
        <v>0.3511111111111111</v>
      </c>
      <c r="U42" t="n">
        <v>0.2675349734684033</v>
      </c>
    </row>
    <row r="43">
      <c r="A43" t="n">
        <v>42</v>
      </c>
      <c r="B43" t="inlineStr">
        <is>
          <t>May-2023</t>
        </is>
      </c>
      <c r="C43" t="inlineStr">
        <is>
          <t>Bearings</t>
        </is>
      </c>
      <c r="D43" t="inlineStr">
        <is>
          <t>South</t>
        </is>
      </c>
      <c r="E43" t="n">
        <v>800</v>
      </c>
      <c r="F43" t="n">
        <v>24</v>
      </c>
      <c r="G43" t="n">
        <v>706</v>
      </c>
      <c r="H43" t="n">
        <v>400</v>
      </c>
      <c r="I43" t="n">
        <v>210</v>
      </c>
      <c r="J43" t="n">
        <v>48</v>
      </c>
      <c r="K43" t="n">
        <v>20</v>
      </c>
      <c r="L43" t="n">
        <v>282400</v>
      </c>
      <c r="M43" t="n">
        <v>168000</v>
      </c>
      <c r="N43" t="n">
        <v>38400</v>
      </c>
      <c r="O43" t="n">
        <v>16000</v>
      </c>
      <c r="P43" t="n">
        <v>222400</v>
      </c>
      <c r="Q43" t="n">
        <v>6672</v>
      </c>
      <c r="R43" t="n">
        <v>196268</v>
      </c>
      <c r="S43" t="n">
        <v>86132</v>
      </c>
      <c r="T43" t="n">
        <v>0.305</v>
      </c>
      <c r="U43" t="n">
        <v>0.2124645892351275</v>
      </c>
    </row>
    <row r="44">
      <c r="A44" t="n">
        <v>43</v>
      </c>
      <c r="B44" t="inlineStr">
        <is>
          <t>May-2023</t>
        </is>
      </c>
      <c r="C44" t="inlineStr">
        <is>
          <t>Gears</t>
        </is>
      </c>
      <c r="D44" t="inlineStr">
        <is>
          <t>West</t>
        </is>
      </c>
      <c r="E44" t="n">
        <v>864</v>
      </c>
      <c r="F44" t="n">
        <v>24</v>
      </c>
      <c r="G44" t="n">
        <v>764</v>
      </c>
      <c r="H44" t="n">
        <v>500</v>
      </c>
      <c r="I44" t="n">
        <v>230</v>
      </c>
      <c r="J44" t="n">
        <v>55</v>
      </c>
      <c r="K44" t="n">
        <v>25</v>
      </c>
      <c r="L44" t="n">
        <v>382000</v>
      </c>
      <c r="M44" t="n">
        <v>198720</v>
      </c>
      <c r="N44" t="n">
        <v>47520</v>
      </c>
      <c r="O44" t="n">
        <v>21600</v>
      </c>
      <c r="P44" t="n">
        <v>267840</v>
      </c>
      <c r="Q44" t="n">
        <v>7440</v>
      </c>
      <c r="R44" t="n">
        <v>236840</v>
      </c>
      <c r="S44" t="n">
        <v>145160</v>
      </c>
      <c r="T44" t="n">
        <v>0.38</v>
      </c>
      <c r="U44" t="n">
        <v>0.298848167539267</v>
      </c>
    </row>
    <row r="45">
      <c r="A45" t="n">
        <v>44</v>
      </c>
      <c r="B45" t="inlineStr">
        <is>
          <t>May-2023</t>
        </is>
      </c>
      <c r="C45" t="inlineStr">
        <is>
          <t>Shafts</t>
        </is>
      </c>
      <c r="D45" t="inlineStr">
        <is>
          <t>West</t>
        </is>
      </c>
      <c r="E45" t="n">
        <v>821</v>
      </c>
      <c r="F45" t="n">
        <v>22</v>
      </c>
      <c r="G45" t="n">
        <v>727</v>
      </c>
      <c r="H45" t="n">
        <v>450</v>
      </c>
      <c r="I45" t="n">
        <v>220</v>
      </c>
      <c r="J45" t="n">
        <v>50</v>
      </c>
      <c r="K45" t="n">
        <v>22</v>
      </c>
      <c r="L45" t="n">
        <v>327150</v>
      </c>
      <c r="M45" t="n">
        <v>180620</v>
      </c>
      <c r="N45" t="n">
        <v>41050</v>
      </c>
      <c r="O45" t="n">
        <v>18062</v>
      </c>
      <c r="P45" t="n">
        <v>239732</v>
      </c>
      <c r="Q45" t="n">
        <v>6424</v>
      </c>
      <c r="R45" t="n">
        <v>212284</v>
      </c>
      <c r="S45" t="n">
        <v>114866</v>
      </c>
      <c r="T45" t="n">
        <v>0.3511111111111111</v>
      </c>
      <c r="U45" t="n">
        <v>0.267210759590402</v>
      </c>
    </row>
    <row r="46">
      <c r="A46" t="n">
        <v>45</v>
      </c>
      <c r="B46" t="inlineStr">
        <is>
          <t>May-2023</t>
        </is>
      </c>
      <c r="C46" t="inlineStr">
        <is>
          <t>Bearings</t>
        </is>
      </c>
      <c r="D46" t="inlineStr">
        <is>
          <t>West</t>
        </is>
      </c>
      <c r="E46" t="n">
        <v>842</v>
      </c>
      <c r="F46" t="n">
        <v>25</v>
      </c>
      <c r="G46" t="n">
        <v>743</v>
      </c>
      <c r="H46" t="n">
        <v>400</v>
      </c>
      <c r="I46" t="n">
        <v>210</v>
      </c>
      <c r="J46" t="n">
        <v>48</v>
      </c>
      <c r="K46" t="n">
        <v>20</v>
      </c>
      <c r="L46" t="n">
        <v>297200</v>
      </c>
      <c r="M46" t="n">
        <v>176820</v>
      </c>
      <c r="N46" t="n">
        <v>40416</v>
      </c>
      <c r="O46" t="n">
        <v>16840</v>
      </c>
      <c r="P46" t="n">
        <v>234076</v>
      </c>
      <c r="Q46" t="n">
        <v>6950</v>
      </c>
      <c r="R46" t="n">
        <v>206554</v>
      </c>
      <c r="S46" t="n">
        <v>90646</v>
      </c>
      <c r="T46" t="n">
        <v>0.305</v>
      </c>
      <c r="U46" t="n">
        <v>0.2123956931359354</v>
      </c>
    </row>
    <row r="47">
      <c r="A47" t="n">
        <v>46</v>
      </c>
      <c r="B47" t="inlineStr">
        <is>
          <t>Jun-2023</t>
        </is>
      </c>
      <c r="C47" t="inlineStr">
        <is>
          <t>Gears</t>
        </is>
      </c>
      <c r="D47" t="inlineStr">
        <is>
          <t>North</t>
        </is>
      </c>
      <c r="E47" t="n">
        <v>941</v>
      </c>
      <c r="F47" t="n">
        <v>26</v>
      </c>
      <c r="G47" t="n">
        <v>833</v>
      </c>
      <c r="H47" t="n">
        <v>500</v>
      </c>
      <c r="I47" t="n">
        <v>230</v>
      </c>
      <c r="J47" t="n">
        <v>55</v>
      </c>
      <c r="K47" t="n">
        <v>25</v>
      </c>
      <c r="L47" t="n">
        <v>416500</v>
      </c>
      <c r="M47" t="n">
        <v>216430</v>
      </c>
      <c r="N47" t="n">
        <v>51755</v>
      </c>
      <c r="O47" t="n">
        <v>23525</v>
      </c>
      <c r="P47" t="n">
        <v>291710</v>
      </c>
      <c r="Q47" t="n">
        <v>8060</v>
      </c>
      <c r="R47" t="n">
        <v>258230</v>
      </c>
      <c r="S47" t="n">
        <v>158270</v>
      </c>
      <c r="T47" t="n">
        <v>0.38</v>
      </c>
      <c r="U47" t="n">
        <v>0.2996158463385354</v>
      </c>
    </row>
    <row r="48">
      <c r="A48" t="n">
        <v>47</v>
      </c>
      <c r="B48" t="inlineStr">
        <is>
          <t>Jun-2023</t>
        </is>
      </c>
      <c r="C48" t="inlineStr">
        <is>
          <t>Shafts</t>
        </is>
      </c>
      <c r="D48" t="inlineStr">
        <is>
          <t>North</t>
        </is>
      </c>
      <c r="E48" t="n">
        <v>894</v>
      </c>
      <c r="F48" t="n">
        <v>24</v>
      </c>
      <c r="G48" t="n">
        <v>792</v>
      </c>
      <c r="H48" t="n">
        <v>450</v>
      </c>
      <c r="I48" t="n">
        <v>220</v>
      </c>
      <c r="J48" t="n">
        <v>50</v>
      </c>
      <c r="K48" t="n">
        <v>22</v>
      </c>
      <c r="L48" t="n">
        <v>356400</v>
      </c>
      <c r="M48" t="n">
        <v>196680</v>
      </c>
      <c r="N48" t="n">
        <v>44700</v>
      </c>
      <c r="O48" t="n">
        <v>19668</v>
      </c>
      <c r="P48" t="n">
        <v>261048</v>
      </c>
      <c r="Q48" t="n">
        <v>7008</v>
      </c>
      <c r="R48" t="n">
        <v>231264</v>
      </c>
      <c r="S48" t="n">
        <v>125136</v>
      </c>
      <c r="T48" t="n">
        <v>0.3511111111111111</v>
      </c>
      <c r="U48" t="n">
        <v>0.2675420875420875</v>
      </c>
    </row>
    <row r="49">
      <c r="A49" t="n">
        <v>48</v>
      </c>
      <c r="B49" t="inlineStr">
        <is>
          <t>Jun-2023</t>
        </is>
      </c>
      <c r="C49" t="inlineStr">
        <is>
          <t>Bearings</t>
        </is>
      </c>
      <c r="D49" t="inlineStr">
        <is>
          <t>North</t>
        </is>
      </c>
      <c r="E49" t="n">
        <v>917</v>
      </c>
      <c r="F49" t="n">
        <v>28</v>
      </c>
      <c r="G49" t="n">
        <v>809</v>
      </c>
      <c r="H49" t="n">
        <v>400</v>
      </c>
      <c r="I49" t="n">
        <v>210</v>
      </c>
      <c r="J49" t="n">
        <v>48</v>
      </c>
      <c r="K49" t="n">
        <v>20</v>
      </c>
      <c r="L49" t="n">
        <v>323600</v>
      </c>
      <c r="M49" t="n">
        <v>192570</v>
      </c>
      <c r="N49" t="n">
        <v>44016</v>
      </c>
      <c r="O49" t="n">
        <v>18340</v>
      </c>
      <c r="P49" t="n">
        <v>254926</v>
      </c>
      <c r="Q49" t="n">
        <v>7784</v>
      </c>
      <c r="R49" t="n">
        <v>224902</v>
      </c>
      <c r="S49" t="n">
        <v>98698</v>
      </c>
      <c r="T49" t="n">
        <v>0.305</v>
      </c>
      <c r="U49" t="n">
        <v>0.2122187886279357</v>
      </c>
    </row>
    <row r="50">
      <c r="A50" t="n">
        <v>49</v>
      </c>
      <c r="B50" t="inlineStr">
        <is>
          <t>Jun-2023</t>
        </is>
      </c>
      <c r="C50" t="inlineStr">
        <is>
          <t>Gears</t>
        </is>
      </c>
      <c r="D50" t="inlineStr">
        <is>
          <t>South</t>
        </is>
      </c>
      <c r="E50" t="n">
        <v>851</v>
      </c>
      <c r="F50" t="n">
        <v>24</v>
      </c>
      <c r="G50" t="n">
        <v>753</v>
      </c>
      <c r="H50" t="n">
        <v>500</v>
      </c>
      <c r="I50" t="n">
        <v>230</v>
      </c>
      <c r="J50" t="n">
        <v>55</v>
      </c>
      <c r="K50" t="n">
        <v>25</v>
      </c>
      <c r="L50" t="n">
        <v>376500</v>
      </c>
      <c r="M50" t="n">
        <v>195730</v>
      </c>
      <c r="N50" t="n">
        <v>46805</v>
      </c>
      <c r="O50" t="n">
        <v>21275</v>
      </c>
      <c r="P50" t="n">
        <v>263810</v>
      </c>
      <c r="Q50" t="n">
        <v>7440</v>
      </c>
      <c r="R50" t="n">
        <v>233430</v>
      </c>
      <c r="S50" t="n">
        <v>143070</v>
      </c>
      <c r="T50" t="n">
        <v>0.38</v>
      </c>
      <c r="U50" t="n">
        <v>0.2993094289508632</v>
      </c>
    </row>
    <row r="51">
      <c r="A51" t="n">
        <v>50</v>
      </c>
      <c r="B51" t="inlineStr">
        <is>
          <t>Jun-2023</t>
        </is>
      </c>
      <c r="C51" t="inlineStr">
        <is>
          <t>Shafts</t>
        </is>
      </c>
      <c r="D51" t="inlineStr">
        <is>
          <t>South</t>
        </is>
      </c>
      <c r="E51" t="n">
        <v>809</v>
      </c>
      <c r="F51" t="n">
        <v>22</v>
      </c>
      <c r="G51" t="n">
        <v>716</v>
      </c>
      <c r="H51" t="n">
        <v>450</v>
      </c>
      <c r="I51" t="n">
        <v>220</v>
      </c>
      <c r="J51" t="n">
        <v>50</v>
      </c>
      <c r="K51" t="n">
        <v>22</v>
      </c>
      <c r="L51" t="n">
        <v>322200</v>
      </c>
      <c r="M51" t="n">
        <v>177980</v>
      </c>
      <c r="N51" t="n">
        <v>40450</v>
      </c>
      <c r="O51" t="n">
        <v>17798</v>
      </c>
      <c r="P51" t="n">
        <v>236228</v>
      </c>
      <c r="Q51" t="n">
        <v>6424</v>
      </c>
      <c r="R51" t="n">
        <v>209072</v>
      </c>
      <c r="S51" t="n">
        <v>113128</v>
      </c>
      <c r="T51" t="n">
        <v>0.3511111111111111</v>
      </c>
      <c r="U51" t="n">
        <v>0.2668280571073867</v>
      </c>
    </row>
    <row r="52">
      <c r="A52" t="n">
        <v>51</v>
      </c>
      <c r="B52" t="inlineStr">
        <is>
          <t>Jun-2023</t>
        </is>
      </c>
      <c r="C52" t="inlineStr">
        <is>
          <t>Bearings</t>
        </is>
      </c>
      <c r="D52" t="inlineStr">
        <is>
          <t>South</t>
        </is>
      </c>
      <c r="E52" t="n">
        <v>830</v>
      </c>
      <c r="F52" t="n">
        <v>25</v>
      </c>
      <c r="G52" t="n">
        <v>733</v>
      </c>
      <c r="H52" t="n">
        <v>400</v>
      </c>
      <c r="I52" t="n">
        <v>210</v>
      </c>
      <c r="J52" t="n">
        <v>48</v>
      </c>
      <c r="K52" t="n">
        <v>20</v>
      </c>
      <c r="L52" t="n">
        <v>293200</v>
      </c>
      <c r="M52" t="n">
        <v>174300</v>
      </c>
      <c r="N52" t="n">
        <v>39840</v>
      </c>
      <c r="O52" t="n">
        <v>16600</v>
      </c>
      <c r="P52" t="n">
        <v>230740</v>
      </c>
      <c r="Q52" t="n">
        <v>6950</v>
      </c>
      <c r="R52" t="n">
        <v>203774</v>
      </c>
      <c r="S52" t="n">
        <v>89426</v>
      </c>
      <c r="T52" t="n">
        <v>0.305</v>
      </c>
      <c r="U52" t="n">
        <v>0.2130286493860846</v>
      </c>
    </row>
    <row r="53">
      <c r="A53" t="n">
        <v>52</v>
      </c>
      <c r="B53" t="inlineStr">
        <is>
          <t>Jun-2023</t>
        </is>
      </c>
      <c r="C53" t="inlineStr">
        <is>
          <t>Gears</t>
        </is>
      </c>
      <c r="D53" t="inlineStr">
        <is>
          <t>West</t>
        </is>
      </c>
      <c r="E53" t="n">
        <v>896</v>
      </c>
      <c r="F53" t="n">
        <v>25</v>
      </c>
      <c r="G53" t="n">
        <v>793</v>
      </c>
      <c r="H53" t="n">
        <v>500</v>
      </c>
      <c r="I53" t="n">
        <v>230</v>
      </c>
      <c r="J53" t="n">
        <v>55</v>
      </c>
      <c r="K53" t="n">
        <v>25</v>
      </c>
      <c r="L53" t="n">
        <v>396500</v>
      </c>
      <c r="M53" t="n">
        <v>206080</v>
      </c>
      <c r="N53" t="n">
        <v>49280</v>
      </c>
      <c r="O53" t="n">
        <v>22400</v>
      </c>
      <c r="P53" t="n">
        <v>277760</v>
      </c>
      <c r="Q53" t="n">
        <v>7750</v>
      </c>
      <c r="R53" t="n">
        <v>245830</v>
      </c>
      <c r="S53" t="n">
        <v>150670</v>
      </c>
      <c r="T53" t="n">
        <v>0.38</v>
      </c>
      <c r="U53" t="n">
        <v>0.2994703656998739</v>
      </c>
    </row>
    <row r="54">
      <c r="A54" t="n">
        <v>53</v>
      </c>
      <c r="B54" t="inlineStr">
        <is>
          <t>Jun-2023</t>
        </is>
      </c>
      <c r="C54" t="inlineStr">
        <is>
          <t>Shafts</t>
        </is>
      </c>
      <c r="D54" t="inlineStr">
        <is>
          <t>West</t>
        </is>
      </c>
      <c r="E54" t="n">
        <v>851</v>
      </c>
      <c r="F54" t="n">
        <v>23</v>
      </c>
      <c r="G54" t="n">
        <v>753</v>
      </c>
      <c r="H54" t="n">
        <v>450</v>
      </c>
      <c r="I54" t="n">
        <v>220</v>
      </c>
      <c r="J54" t="n">
        <v>50</v>
      </c>
      <c r="K54" t="n">
        <v>22</v>
      </c>
      <c r="L54" t="n">
        <v>338850</v>
      </c>
      <c r="M54" t="n">
        <v>187220</v>
      </c>
      <c r="N54" t="n">
        <v>42550</v>
      </c>
      <c r="O54" t="n">
        <v>18722</v>
      </c>
      <c r="P54" t="n">
        <v>248492</v>
      </c>
      <c r="Q54" t="n">
        <v>6716</v>
      </c>
      <c r="R54" t="n">
        <v>219876</v>
      </c>
      <c r="S54" t="n">
        <v>118974</v>
      </c>
      <c r="T54" t="n">
        <v>0.3511111111111111</v>
      </c>
      <c r="U54" t="n">
        <v>0.2666607643500074</v>
      </c>
    </row>
    <row r="55">
      <c r="A55" t="n">
        <v>54</v>
      </c>
      <c r="B55" t="inlineStr">
        <is>
          <t>Jun-2023</t>
        </is>
      </c>
      <c r="C55" t="inlineStr">
        <is>
          <t>Bearings</t>
        </is>
      </c>
      <c r="D55" t="inlineStr">
        <is>
          <t>West</t>
        </is>
      </c>
      <c r="E55" t="n">
        <v>874</v>
      </c>
      <c r="F55" t="n">
        <v>26</v>
      </c>
      <c r="G55" t="n">
        <v>772</v>
      </c>
      <c r="H55" t="n">
        <v>400</v>
      </c>
      <c r="I55" t="n">
        <v>210</v>
      </c>
      <c r="J55" t="n">
        <v>48</v>
      </c>
      <c r="K55" t="n">
        <v>20</v>
      </c>
      <c r="L55" t="n">
        <v>308800</v>
      </c>
      <c r="M55" t="n">
        <v>183540</v>
      </c>
      <c r="N55" t="n">
        <v>41952</v>
      </c>
      <c r="O55" t="n">
        <v>17480</v>
      </c>
      <c r="P55" t="n">
        <v>242972</v>
      </c>
      <c r="Q55" t="n">
        <v>7228</v>
      </c>
      <c r="R55" t="n">
        <v>214616</v>
      </c>
      <c r="S55" t="n">
        <v>94184</v>
      </c>
      <c r="T55" t="n">
        <v>0.305</v>
      </c>
      <c r="U55" t="n">
        <v>0.2131735751295337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Production_Units</t>
        </is>
      </c>
      <c r="C1" s="1" t="inlineStr">
        <is>
          <t>Scrap_Units</t>
        </is>
      </c>
      <c r="D1" s="1" t="inlineStr">
        <is>
          <t>Sales_Units</t>
        </is>
      </c>
      <c r="E1" s="1" t="inlineStr">
        <is>
          <t>Revenue</t>
        </is>
      </c>
      <c r="F1" s="1" t="inlineStr">
        <is>
          <t>Scrap_Cost</t>
        </is>
      </c>
      <c r="G1" s="1" t="inlineStr">
        <is>
          <t>Cost_of_Sales</t>
        </is>
      </c>
      <c r="H1" s="1" t="inlineStr">
        <is>
          <t>Gross_Profit</t>
        </is>
      </c>
      <c r="I1" s="1" t="inlineStr">
        <is>
          <t>Scrap_Rate_%</t>
        </is>
      </c>
      <c r="J1" s="1" t="inlineStr">
        <is>
          <t>Margin_%</t>
        </is>
      </c>
      <c r="K1" s="1" t="inlineStr">
        <is>
          <t>Margin_After_Scrap_%</t>
        </is>
      </c>
    </row>
    <row r="2">
      <c r="A2" t="inlineStr">
        <is>
          <t>Bearings</t>
        </is>
      </c>
      <c r="B2" t="n">
        <v>14321</v>
      </c>
      <c r="C2" t="n">
        <v>430</v>
      </c>
      <c r="D2" t="n">
        <v>12641</v>
      </c>
      <c r="E2" t="n">
        <v>5056400</v>
      </c>
      <c r="F2" t="n">
        <v>119540</v>
      </c>
      <c r="G2" t="n">
        <v>3514198</v>
      </c>
      <c r="H2" t="n">
        <v>1542202</v>
      </c>
      <c r="I2" t="n">
        <v>0.03002583618462398</v>
      </c>
      <c r="J2" t="n">
        <v>0.305</v>
      </c>
      <c r="K2" t="n">
        <v>0.2126338897239143</v>
      </c>
    </row>
    <row r="3">
      <c r="A3" t="inlineStr">
        <is>
          <t>Gears</t>
        </is>
      </c>
      <c r="B3" t="n">
        <v>14688</v>
      </c>
      <c r="C3" t="n">
        <v>411</v>
      </c>
      <c r="D3" t="n">
        <v>12994</v>
      </c>
      <c r="E3" t="n">
        <v>6497000</v>
      </c>
      <c r="F3" t="n">
        <v>127410</v>
      </c>
      <c r="G3" t="n">
        <v>4028140</v>
      </c>
      <c r="H3" t="n">
        <v>2468860</v>
      </c>
      <c r="I3" t="n">
        <v>0.02798202614379085</v>
      </c>
      <c r="J3" t="n">
        <v>0.38</v>
      </c>
      <c r="K3" t="n">
        <v>0.2991719255040788</v>
      </c>
    </row>
    <row r="4">
      <c r="A4" t="inlineStr">
        <is>
          <t>Shafts</t>
        </is>
      </c>
      <c r="B4" t="n">
        <v>13954</v>
      </c>
      <c r="C4" t="n">
        <v>377</v>
      </c>
      <c r="D4" t="n">
        <v>12354</v>
      </c>
      <c r="E4" t="n">
        <v>5559300</v>
      </c>
      <c r="F4" t="n">
        <v>110084</v>
      </c>
      <c r="G4" t="n">
        <v>3607368</v>
      </c>
      <c r="H4" t="n">
        <v>1951932</v>
      </c>
      <c r="I4" t="n">
        <v>0.02701734269743443</v>
      </c>
      <c r="J4" t="n">
        <v>0.3511111111111111</v>
      </c>
      <c r="K4" t="n">
        <v>0.267071753638048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Production_Units</t>
        </is>
      </c>
      <c r="C1" s="1" t="inlineStr">
        <is>
          <t>Scrap_Units</t>
        </is>
      </c>
      <c r="D1" s="1" t="inlineStr">
        <is>
          <t>Sales_Units</t>
        </is>
      </c>
      <c r="E1" s="1" t="inlineStr">
        <is>
          <t>Revenue</t>
        </is>
      </c>
      <c r="F1" s="1" t="inlineStr">
        <is>
          <t>Scrap_Cost</t>
        </is>
      </c>
      <c r="G1" s="1" t="inlineStr">
        <is>
          <t>Gross_Profit</t>
        </is>
      </c>
      <c r="H1" s="1" t="inlineStr">
        <is>
          <t>Scrap_Rate_%</t>
        </is>
      </c>
      <c r="I1" s="1" t="inlineStr">
        <is>
          <t>Margin_%</t>
        </is>
      </c>
    </row>
    <row r="2">
      <c r="A2" t="inlineStr">
        <is>
          <t>Jan-2023</t>
        </is>
      </c>
      <c r="B2" t="n">
        <v>6458</v>
      </c>
      <c r="C2" t="n">
        <v>185</v>
      </c>
      <c r="D2" t="n">
        <v>5708</v>
      </c>
      <c r="E2" t="n">
        <v>2571250</v>
      </c>
      <c r="F2" t="n">
        <v>54244</v>
      </c>
      <c r="G2" t="n">
        <v>895964</v>
      </c>
      <c r="H2" t="n">
        <v>0.02864663982657169</v>
      </c>
      <c r="I2" t="n">
        <v>0.3484546426835197</v>
      </c>
    </row>
    <row r="3">
      <c r="A3" t="inlineStr">
        <is>
          <t>Feb-2023</t>
        </is>
      </c>
      <c r="B3" t="n">
        <v>6739</v>
      </c>
      <c r="C3" t="n">
        <v>192</v>
      </c>
      <c r="D3" t="n">
        <v>5958</v>
      </c>
      <c r="E3" t="n">
        <v>2683850</v>
      </c>
      <c r="F3" t="n">
        <v>56296</v>
      </c>
      <c r="G3" t="n">
        <v>935192</v>
      </c>
      <c r="H3" t="n">
        <v>0.02849087401691646</v>
      </c>
      <c r="I3" t="n">
        <v>0.3484516645863219</v>
      </c>
    </row>
    <row r="4">
      <c r="A4" t="inlineStr">
        <is>
          <t>Mar-2023</t>
        </is>
      </c>
      <c r="B4" t="n">
        <v>7020</v>
      </c>
      <c r="C4" t="n">
        <v>199</v>
      </c>
      <c r="D4" t="n">
        <v>6207</v>
      </c>
      <c r="E4" t="n">
        <v>2796000</v>
      </c>
      <c r="F4" t="n">
        <v>58334</v>
      </c>
      <c r="G4" t="n">
        <v>974266</v>
      </c>
      <c r="H4" t="n">
        <v>0.02834757834757835</v>
      </c>
      <c r="I4" t="n">
        <v>0.3484499284692418</v>
      </c>
    </row>
    <row r="5">
      <c r="A5" t="inlineStr">
        <is>
          <t>Apr-2023</t>
        </is>
      </c>
      <c r="B5" t="n">
        <v>7301</v>
      </c>
      <c r="C5" t="n">
        <v>205</v>
      </c>
      <c r="D5" t="n">
        <v>6458</v>
      </c>
      <c r="E5" t="n">
        <v>2909100</v>
      </c>
      <c r="F5" t="n">
        <v>60080</v>
      </c>
      <c r="G5" t="n">
        <v>1013688</v>
      </c>
      <c r="H5" t="n">
        <v>0.02807834543213258</v>
      </c>
      <c r="I5" t="n">
        <v>0.3484541610807466</v>
      </c>
    </row>
    <row r="6">
      <c r="A6" t="inlineStr">
        <is>
          <t>May-2023</t>
        </is>
      </c>
      <c r="B6" t="n">
        <v>7582</v>
      </c>
      <c r="C6" t="n">
        <v>214</v>
      </c>
      <c r="D6" t="n">
        <v>6704</v>
      </c>
      <c r="E6" t="n">
        <v>3019950</v>
      </c>
      <c r="F6" t="n">
        <v>62720</v>
      </c>
      <c r="G6" t="n">
        <v>1052328</v>
      </c>
      <c r="H6" t="n">
        <v>0.02822474281192297</v>
      </c>
      <c r="I6" t="n">
        <v>0.3484587493170417</v>
      </c>
    </row>
    <row r="7">
      <c r="A7" t="inlineStr">
        <is>
          <t>Jun-2023</t>
        </is>
      </c>
      <c r="B7" t="n">
        <v>7863</v>
      </c>
      <c r="C7" t="n">
        <v>223</v>
      </c>
      <c r="D7" t="n">
        <v>6954</v>
      </c>
      <c r="E7" t="n">
        <v>3132550</v>
      </c>
      <c r="F7" t="n">
        <v>65360</v>
      </c>
      <c r="G7" t="n">
        <v>1091556</v>
      </c>
      <c r="H7" t="n">
        <v>0.02836067658654457</v>
      </c>
      <c r="I7" t="n">
        <v>0.3484560501827584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Production_Units</t>
        </is>
      </c>
      <c r="C1" s="1" t="inlineStr">
        <is>
          <t>Scrap_Units</t>
        </is>
      </c>
      <c r="D1" s="1" t="inlineStr">
        <is>
          <t>Sales_Units</t>
        </is>
      </c>
      <c r="E1" s="1" t="inlineStr">
        <is>
          <t>Revenue</t>
        </is>
      </c>
      <c r="F1" s="1" t="inlineStr">
        <is>
          <t>Scrap_Cost</t>
        </is>
      </c>
      <c r="G1" s="1" t="inlineStr">
        <is>
          <t>Gross_Profit</t>
        </is>
      </c>
      <c r="H1" s="1" t="inlineStr">
        <is>
          <t>Scrap_Rate_%</t>
        </is>
      </c>
      <c r="I1" s="1" t="inlineStr">
        <is>
          <t>Margin_%</t>
        </is>
      </c>
    </row>
    <row r="2">
      <c r="A2" t="inlineStr">
        <is>
          <t>North</t>
        </is>
      </c>
      <c r="B2" t="n">
        <v>15037</v>
      </c>
      <c r="C2" t="n">
        <v>429</v>
      </c>
      <c r="D2" t="n">
        <v>13295</v>
      </c>
      <c r="E2" t="n">
        <v>5989100</v>
      </c>
      <c r="F2" t="n">
        <v>125718</v>
      </c>
      <c r="G2" t="n">
        <v>2086986</v>
      </c>
      <c r="H2" t="n">
        <v>0.02852962692026335</v>
      </c>
      <c r="I2" t="n">
        <v>0.3484640430114708</v>
      </c>
    </row>
    <row r="3">
      <c r="A3" t="inlineStr">
        <is>
          <t>South</t>
        </is>
      </c>
      <c r="B3" t="n">
        <v>13605</v>
      </c>
      <c r="C3" t="n">
        <v>384</v>
      </c>
      <c r="D3" t="n">
        <v>12031</v>
      </c>
      <c r="E3" t="n">
        <v>5419450</v>
      </c>
      <c r="F3" t="n">
        <v>112578</v>
      </c>
      <c r="G3" t="n">
        <v>1888402</v>
      </c>
      <c r="H3" t="n">
        <v>0.02822491730981257</v>
      </c>
      <c r="I3" t="n">
        <v>0.3484490123536521</v>
      </c>
    </row>
    <row r="4">
      <c r="A4" t="inlineStr">
        <is>
          <t>West</t>
        </is>
      </c>
      <c r="B4" t="n">
        <v>14321</v>
      </c>
      <c r="C4" t="n">
        <v>405</v>
      </c>
      <c r="D4" t="n">
        <v>12663</v>
      </c>
      <c r="E4" t="n">
        <v>5704150</v>
      </c>
      <c r="F4" t="n">
        <v>118738</v>
      </c>
      <c r="G4" t="n">
        <v>1987606</v>
      </c>
      <c r="H4" t="n">
        <v>0.02828014803435514</v>
      </c>
      <c r="I4" t="n">
        <v>0.3484491116117213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Material_Cost</t>
        </is>
      </c>
      <c r="C1" s="1" t="inlineStr">
        <is>
          <t>Labour_Cost</t>
        </is>
      </c>
      <c r="D1" s="1" t="inlineStr">
        <is>
          <t>Overhead_Cost</t>
        </is>
      </c>
      <c r="E1" s="1" t="inlineStr">
        <is>
          <t>Scrap_Cost</t>
        </is>
      </c>
    </row>
    <row r="2">
      <c r="A2" t="inlineStr">
        <is>
          <t>Bearings</t>
        </is>
      </c>
      <c r="B2" t="n">
        <v>3007410</v>
      </c>
      <c r="C2" t="n">
        <v>687408</v>
      </c>
      <c r="D2" t="n">
        <v>286420</v>
      </c>
      <c r="E2" t="n">
        <v>119540</v>
      </c>
    </row>
    <row r="3">
      <c r="A3" t="inlineStr">
        <is>
          <t>Gears</t>
        </is>
      </c>
      <c r="B3" t="n">
        <v>3378240</v>
      </c>
      <c r="C3" t="n">
        <v>807840</v>
      </c>
      <c r="D3" t="n">
        <v>367200</v>
      </c>
      <c r="E3" t="n">
        <v>127410</v>
      </c>
    </row>
    <row r="4">
      <c r="A4" t="inlineStr">
        <is>
          <t>Shafts</t>
        </is>
      </c>
      <c r="B4" t="n">
        <v>3069880</v>
      </c>
      <c r="C4" t="n">
        <v>697700</v>
      </c>
      <c r="D4" t="n">
        <v>306988</v>
      </c>
      <c r="E4" t="n">
        <v>110084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Presentation Focus</t>
        </is>
      </c>
    </row>
    <row r="2">
      <c r="A2" t="inlineStr">
        <is>
          <t>Section</t>
        </is>
      </c>
      <c r="B2" t="inlineStr">
        <is>
          <t>Presentation Focus</t>
        </is>
      </c>
    </row>
    <row r="3">
      <c r="A3" t="inlineStr">
        <is>
          <t>1. Business Context</t>
        </is>
      </c>
      <c r="B3" t="inlineStr">
        <is>
          <t>Scrap creates a production loss and can be connected to cost and margin analysis.</t>
        </is>
      </c>
    </row>
    <row r="4">
      <c r="A4" t="inlineStr">
        <is>
          <t>2. Scrap Volume</t>
        </is>
      </c>
      <c r="B4" t="inlineStr">
        <is>
          <t>Review production units and scrap units.</t>
        </is>
      </c>
    </row>
    <row r="5">
      <c r="A5" t="inlineStr">
        <is>
          <t>3. Scrap Rate</t>
        </is>
      </c>
      <c r="B5" t="inlineStr">
        <is>
          <t>Scrap Rate = Scrap Units ÷ Production Units.</t>
        </is>
      </c>
    </row>
    <row r="6">
      <c r="A6" t="inlineStr">
        <is>
          <t>4. Scrap Cost</t>
        </is>
      </c>
      <c r="B6" t="inlineStr">
        <is>
          <t>Scrap Cost uses the modeled per-unit production cost.</t>
        </is>
      </c>
    </row>
    <row r="7">
      <c r="A7" t="inlineStr">
        <is>
          <t>5. Revenue</t>
        </is>
      </c>
      <c r="B7" t="inlineStr">
        <is>
          <t>Revenue = Sales Units × Selling Price per Unit.</t>
        </is>
      </c>
    </row>
    <row r="8">
      <c r="A8" t="inlineStr">
        <is>
          <t>6. Gross Profit</t>
        </is>
      </c>
      <c r="B8" t="inlineStr">
        <is>
          <t>Gross Profit = Revenue − Cost of Sales.</t>
        </is>
      </c>
    </row>
    <row r="9">
      <c r="A9" t="inlineStr">
        <is>
          <t>7. Margin</t>
        </is>
      </c>
      <c r="B9" t="inlineStr">
        <is>
          <t>Margin % = Gross Profit ÷ Revenue.</t>
        </is>
      </c>
    </row>
    <row r="10">
      <c r="A10" t="inlineStr">
        <is>
          <t>8. Margin Impact</t>
        </is>
      </c>
      <c r="B10" t="inlineStr">
        <is>
          <t>Compare profitability measures with and without the modeled production scrap cost.</t>
        </is>
      </c>
    </row>
    <row r="11">
      <c r="A11" t="inlineStr">
        <is>
          <t>9. Product View</t>
        </is>
      </c>
      <c r="B11" t="inlineStr">
        <is>
          <t>Compare products using scrap, scrap cost and margin metrics.</t>
        </is>
      </c>
    </row>
    <row r="12">
      <c r="A12" t="inlineStr">
        <is>
          <t>10. Monthly View</t>
        </is>
      </c>
      <c r="B12" t="inlineStr">
        <is>
          <t>Review changes over Jan-Jun 2023.</t>
        </is>
      </c>
    </row>
    <row r="13">
      <c r="A13" t="inlineStr">
        <is>
          <t>11. Regional View</t>
        </is>
      </c>
      <c r="B13" t="inlineStr">
        <is>
          <t>Review differences across North, South and West.</t>
        </is>
      </c>
    </row>
    <row r="14">
      <c r="A14" t="inlineStr">
        <is>
          <t>12. Conclusion</t>
        </is>
      </c>
      <c r="B14" t="inlineStr">
        <is>
          <t>Use the data tables and charts together for a presentation narrative.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Working Area</t>
        </is>
      </c>
    </row>
    <row r="2">
      <c r="A2" t="inlineStr">
        <is>
          <t>Question</t>
        </is>
      </c>
      <c r="B2" t="inlineStr">
        <is>
          <t>Working Area</t>
        </is>
      </c>
    </row>
    <row r="3">
      <c r="A3" t="inlineStr">
        <is>
          <t>What is the scrap rate?</t>
        </is>
      </c>
      <c r="B3" t="inlineStr">
        <is>
          <t>Scrap_Units ÷ Production_Units</t>
        </is>
      </c>
    </row>
    <row r="4">
      <c r="A4" t="inlineStr">
        <is>
          <t>What is scrap cost?</t>
        </is>
      </c>
      <c r="B4" t="inlineStr">
        <is>
          <t>Scrap Units × modeled unit production cost</t>
        </is>
      </c>
    </row>
    <row r="5">
      <c r="A5" t="inlineStr">
        <is>
          <t>What is gross profit?</t>
        </is>
      </c>
      <c r="B5" t="inlineStr">
        <is>
          <t>Revenue − Cost of Sales</t>
        </is>
      </c>
    </row>
    <row r="6">
      <c r="A6" t="inlineStr">
        <is>
          <t>What is margin?</t>
        </is>
      </c>
      <c r="B6" t="inlineStr">
        <is>
          <t>Gross Profit ÷ Revenue</t>
        </is>
      </c>
    </row>
    <row r="7">
      <c r="A7" t="inlineStr">
        <is>
          <t>How can scrap affect profitability?</t>
        </is>
      </c>
      <c r="B7" t="inlineStr">
        <is>
          <t>Scrap consumes modeled production resources and can reduce profitability when included in the cost base.</t>
        </is>
      </c>
    </row>
    <row r="8">
      <c r="A8" t="inlineStr">
        <is>
          <t>Which product should be investigated further?</t>
        </is>
      </c>
      <c r="B8" t="inlineStr">
        <is>
          <t>Compare the full product table rather than one metric alone.</t>
        </is>
      </c>
    </row>
    <row r="9">
      <c r="A9" t="inlineStr">
        <is>
          <t>Which month changed most?</t>
        </is>
      </c>
      <c r="B9" t="inlineStr">
        <is>
          <t>Inspect monthly scrap rate, scrap cost, revenue and margin together.</t>
        </is>
      </c>
    </row>
    <row r="10">
      <c r="A10" t="inlineStr">
        <is>
          <t>How should a presentation be structured?</t>
        </is>
      </c>
      <c r="B10" t="inlineStr">
        <is>
          <t>Context → Evidence → Metrics → Charts → Interpretation → Questions.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Insight Area</t>
        </is>
      </c>
      <c r="B1" s="1" t="inlineStr">
        <is>
          <t>Illustrative Observation</t>
        </is>
      </c>
    </row>
    <row r="2">
      <c r="A2" t="inlineStr">
        <is>
          <t>Insight Area</t>
        </is>
      </c>
      <c r="B2" t="inlineStr">
        <is>
          <t>Illustrative Observation</t>
        </is>
      </c>
    </row>
    <row r="3">
      <c r="A3" t="inlineStr">
        <is>
          <t>Dataset</t>
        </is>
      </c>
      <c r="B3" t="inlineStr">
        <is>
          <t>Illustrative ACE Gears-style manufacturing dataset; not official IITM or company data.</t>
        </is>
      </c>
    </row>
    <row r="4">
      <c r="A4" t="inlineStr">
        <is>
          <t>Period</t>
        </is>
      </c>
      <c r="B4" t="inlineStr">
        <is>
          <t>Jan-2023 to Jun-2023</t>
        </is>
      </c>
    </row>
    <row r="5">
      <c r="A5" t="inlineStr">
        <is>
          <t>Products</t>
        </is>
      </c>
      <c r="B5" t="inlineStr">
        <is>
          <t>Gears, Shafts, Bearings</t>
        </is>
      </c>
    </row>
    <row r="6">
      <c r="A6" t="inlineStr">
        <is>
          <t>Regions</t>
        </is>
      </c>
      <c r="B6" t="inlineStr">
        <is>
          <t>North, South, West</t>
        </is>
      </c>
    </row>
    <row r="7">
      <c r="A7" t="inlineStr">
        <is>
          <t>Primary relationship</t>
        </is>
      </c>
      <c r="B7" t="inlineStr">
        <is>
          <t>Production → Scrap → Scrap Cost → Sales → Revenue → Gross Profit → Margin</t>
        </is>
      </c>
    </row>
    <row r="8">
      <c r="A8" t="inlineStr">
        <is>
          <t>Scrap KPI</t>
        </is>
      </c>
      <c r="B8" t="inlineStr">
        <is>
          <t>Scrap Rate measures scrap units relative to production units.</t>
        </is>
      </c>
    </row>
    <row r="9">
      <c r="A9" t="inlineStr">
        <is>
          <t>Presentation use</t>
        </is>
      </c>
      <c r="B9" t="inlineStr">
        <is>
          <t>Charts help communicate the relationship between operational loss and profitability metrics.</t>
        </is>
      </c>
    </row>
    <row r="10">
      <c r="A10" t="inlineStr">
        <is>
          <t>Caution</t>
        </is>
      </c>
      <c r="B10" t="inlineStr">
        <is>
          <t>A real financial model would require validated cost-accounting definitions and company 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Formula / Source</t>
        </is>
      </c>
    </row>
    <row r="2">
      <c r="A2" t="inlineStr">
        <is>
          <t>Field</t>
        </is>
      </c>
      <c r="B2" t="inlineStr">
        <is>
          <t>Meaning</t>
        </is>
      </c>
      <c r="C2" t="inlineStr">
        <is>
          <t>Formula / Source</t>
        </is>
      </c>
    </row>
    <row r="3">
      <c r="A3" t="inlineStr">
        <is>
          <t>Production_Units</t>
        </is>
      </c>
      <c r="B3" t="inlineStr">
        <is>
          <t>Units produced</t>
        </is>
      </c>
      <c r="C3" t="inlineStr">
        <is>
          <t>Illustrative input</t>
        </is>
      </c>
    </row>
    <row r="4">
      <c r="A4" t="inlineStr">
        <is>
          <t>Scrap_Units</t>
        </is>
      </c>
      <c r="B4" t="inlineStr">
        <is>
          <t>Units classified as scrap</t>
        </is>
      </c>
      <c r="C4" t="inlineStr">
        <is>
          <t>Illustrative input</t>
        </is>
      </c>
    </row>
    <row r="5">
      <c r="A5" t="inlineStr">
        <is>
          <t>Sales_Units</t>
        </is>
      </c>
      <c r="B5" t="inlineStr">
        <is>
          <t>Units sold</t>
        </is>
      </c>
      <c r="C5" t="inlineStr">
        <is>
          <t>Illustrative input</t>
        </is>
      </c>
    </row>
    <row r="6">
      <c r="A6" t="inlineStr">
        <is>
          <t>Revenue</t>
        </is>
      </c>
      <c r="B6" t="inlineStr">
        <is>
          <t>Sales value</t>
        </is>
      </c>
      <c r="C6" t="inlineStr">
        <is>
          <t>Sales Units × Selling Price</t>
        </is>
      </c>
    </row>
    <row r="7">
      <c r="A7" t="inlineStr">
        <is>
          <t>Material_Cost</t>
        </is>
      </c>
      <c r="B7" t="inlineStr">
        <is>
          <t>Modeled material cost</t>
        </is>
      </c>
      <c r="C7" t="inlineStr">
        <is>
          <t>Production Units × Material Cost/Unit</t>
        </is>
      </c>
    </row>
    <row r="8">
      <c r="A8" t="inlineStr">
        <is>
          <t>Labour_Cost</t>
        </is>
      </c>
      <c r="B8" t="inlineStr">
        <is>
          <t>Modeled labour cost</t>
        </is>
      </c>
      <c r="C8" t="inlineStr">
        <is>
          <t>Production Units × Labour Cost/Unit</t>
        </is>
      </c>
    </row>
    <row r="9">
      <c r="A9" t="inlineStr">
        <is>
          <t>Overhead_Cost</t>
        </is>
      </c>
      <c r="B9" t="inlineStr">
        <is>
          <t>Modeled overhead</t>
        </is>
      </c>
      <c r="C9" t="inlineStr">
        <is>
          <t>Production Units × Overhead/Unit</t>
        </is>
      </c>
    </row>
    <row r="10">
      <c r="A10" t="inlineStr">
        <is>
          <t>Total_Production_Cost</t>
        </is>
      </c>
      <c r="B10" t="inlineStr">
        <is>
          <t>Combined modeled production cost</t>
        </is>
      </c>
      <c r="C10" t="inlineStr">
        <is>
          <t>Material + Labour + Overhead</t>
        </is>
      </c>
    </row>
    <row r="11">
      <c r="A11" t="inlineStr">
        <is>
          <t>Scrap_Cost</t>
        </is>
      </c>
      <c r="B11" t="inlineStr">
        <is>
          <t>Modeled cost attached to scrap</t>
        </is>
      </c>
      <c r="C11" t="inlineStr">
        <is>
          <t>Scrap Units × unit production cost</t>
        </is>
      </c>
    </row>
    <row r="12">
      <c r="A12" t="inlineStr">
        <is>
          <t>Cost_of_Sales</t>
        </is>
      </c>
      <c r="B12" t="inlineStr">
        <is>
          <t>Modeled cost attached to sales</t>
        </is>
      </c>
      <c r="C12" t="inlineStr">
        <is>
          <t>Sales Units × unit production cost</t>
        </is>
      </c>
    </row>
    <row r="13">
      <c r="A13" t="inlineStr">
        <is>
          <t>Gross_Profit</t>
        </is>
      </c>
      <c r="B13" t="inlineStr">
        <is>
          <t>Modeled gross profit</t>
        </is>
      </c>
      <c r="C13" t="inlineStr">
        <is>
          <t>Revenue − Cost of Sales</t>
        </is>
      </c>
    </row>
    <row r="14">
      <c r="A14" t="inlineStr">
        <is>
          <t>Scrap_Rate_%</t>
        </is>
      </c>
      <c r="B14" t="inlineStr">
        <is>
          <t>Scrap proportion</t>
        </is>
      </c>
      <c r="C14" t="inlineStr">
        <is>
          <t>Scrap Units ÷ Production Units</t>
        </is>
      </c>
    </row>
    <row r="15">
      <c r="A15" t="inlineStr">
        <is>
          <t>Margin_%</t>
        </is>
      </c>
      <c r="B15" t="inlineStr">
        <is>
          <t>Gross margin in this exercise</t>
        </is>
      </c>
      <c r="C15" t="inlineStr">
        <is>
          <t>Gross Profit ÷ Revenue</t>
        </is>
      </c>
    </row>
    <row r="16">
      <c r="A16" t="inlineStr">
        <is>
          <t>Margin_After_Scrap_%</t>
        </is>
      </c>
      <c r="B16" t="inlineStr">
        <is>
          <t>Illustrative margin after production cost base</t>
        </is>
      </c>
      <c r="C16" t="inlineStr">
        <is>
          <t>(Revenue − Total Production Cost) ÷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Formula</t>
        </is>
      </c>
    </row>
    <row r="2">
      <c r="A2" t="inlineStr">
        <is>
          <t>Step</t>
        </is>
      </c>
      <c r="B2" t="inlineStr">
        <is>
          <t>Formula</t>
        </is>
      </c>
    </row>
    <row r="3">
      <c r="A3" t="inlineStr">
        <is>
          <t>1</t>
        </is>
      </c>
      <c r="B3" t="inlineStr">
        <is>
          <t>Scrap Rate = Scrap Units ÷ Production Units</t>
        </is>
      </c>
    </row>
    <row r="4">
      <c r="A4" t="inlineStr">
        <is>
          <t>2</t>
        </is>
      </c>
      <c r="B4" t="inlineStr">
        <is>
          <t>Unit Production Cost = Material Cost/Unit + Labour Cost/Unit + Overhead/Unit</t>
        </is>
      </c>
    </row>
    <row r="5">
      <c r="A5" t="inlineStr">
        <is>
          <t>3</t>
        </is>
      </c>
      <c r="B5" t="inlineStr">
        <is>
          <t>Scrap Cost = Scrap Units × Unit Production Cost</t>
        </is>
      </c>
    </row>
    <row r="6">
      <c r="A6" t="inlineStr">
        <is>
          <t>4</t>
        </is>
      </c>
      <c r="B6" t="inlineStr">
        <is>
          <t>Revenue = Sales Units × Selling Price per Unit</t>
        </is>
      </c>
    </row>
    <row r="7">
      <c r="A7" t="inlineStr">
        <is>
          <t>5</t>
        </is>
      </c>
      <c r="B7" t="inlineStr">
        <is>
          <t>Cost of Sales = Sales Units × Unit Production Cost</t>
        </is>
      </c>
    </row>
    <row r="8">
      <c r="A8" t="inlineStr">
        <is>
          <t>6</t>
        </is>
      </c>
      <c r="B8" t="inlineStr">
        <is>
          <t>Gross Profit = Revenue − Cost of Sales</t>
        </is>
      </c>
    </row>
    <row r="9">
      <c r="A9" t="inlineStr">
        <is>
          <t>7</t>
        </is>
      </c>
      <c r="B9" t="inlineStr">
        <is>
          <t>Margin % = Gross Profit ÷ Revenue</t>
        </is>
      </c>
    </row>
    <row r="10">
      <c r="A10" t="inlineStr">
        <is>
          <t>8</t>
        </is>
      </c>
      <c r="B10" t="inlineStr">
        <is>
          <t>Margin After Scrap % = (Revenue − Total Production Cost) ÷ Revenue</t>
        </is>
      </c>
    </row>
    <row r="11">
      <c r="A11" t="inlineStr">
        <is>
          <t>9</t>
        </is>
      </c>
      <c r="B11" t="inlineStr">
        <is>
          <t>Compare product, month and region views.</t>
        </is>
      </c>
    </row>
    <row r="12">
      <c r="A12" t="inlineStr">
        <is>
          <t>10</t>
        </is>
      </c>
      <c r="B12" t="inlineStr">
        <is>
          <t>Build the presentation from evidence rather than isolated metrics.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Instruction</t>
        </is>
      </c>
    </row>
    <row r="2">
      <c r="A2" t="inlineStr">
        <is>
          <t>Item</t>
        </is>
      </c>
      <c r="B2" t="inlineStr">
        <is>
          <t>Instruction</t>
        </is>
      </c>
    </row>
    <row r="3">
      <c r="A3" t="inlineStr">
        <is>
          <t>Objective</t>
        </is>
      </c>
      <c r="B3" t="inlineStr">
        <is>
          <t>Prepare a presentation-ready view of scrap costs and margin analysis.</t>
        </is>
      </c>
    </row>
    <row r="4">
      <c r="A4" t="inlineStr">
        <is>
          <t>Start</t>
        </is>
      </c>
      <c r="B4" t="inlineStr">
        <is>
          <t>Open Scrap_Margin_Data.</t>
        </is>
      </c>
    </row>
    <row r="5">
      <c r="A5" t="inlineStr">
        <is>
          <t>Working</t>
        </is>
      </c>
      <c r="B5" t="inlineStr">
        <is>
          <t>Trace scrap rate, unit cost, scrap cost, revenue and margin.</t>
        </is>
      </c>
    </row>
    <row r="6">
      <c r="A6" t="inlineStr">
        <is>
          <t>Product</t>
        </is>
      </c>
      <c r="B6" t="inlineStr">
        <is>
          <t>Review Product_Scrap_Margin.</t>
        </is>
      </c>
    </row>
    <row r="7">
      <c r="A7" t="inlineStr">
        <is>
          <t>Month</t>
        </is>
      </c>
      <c r="B7" t="inlineStr">
        <is>
          <t>Review Monthly_Scrap_Margin.</t>
        </is>
      </c>
    </row>
    <row r="8">
      <c r="A8" t="inlineStr">
        <is>
          <t>Region</t>
        </is>
      </c>
      <c r="B8" t="inlineStr">
        <is>
          <t>Review Region_Scrap_Margin.</t>
        </is>
      </c>
    </row>
    <row r="9">
      <c r="A9" t="inlineStr">
        <is>
          <t>Costs</t>
        </is>
      </c>
      <c r="B9" t="inlineStr">
        <is>
          <t>Review Cost_Analysis.</t>
        </is>
      </c>
    </row>
    <row r="10">
      <c r="A10" t="inlineStr">
        <is>
          <t>Presentation</t>
        </is>
      </c>
      <c r="B10" t="inlineStr">
        <is>
          <t>Use Presentation_Flow and dashboard charts.</t>
        </is>
      </c>
    </row>
    <row r="11">
      <c r="A11" t="inlineStr">
        <is>
          <t>Questions</t>
        </is>
      </c>
      <c r="B11" t="inlineStr">
        <is>
          <t>Complete Presentation_Questions.</t>
        </is>
      </c>
    </row>
    <row r="12">
      <c r="A12" t="inlineStr">
        <is>
          <t>Important</t>
        </is>
      </c>
      <c r="B12" t="inlineStr">
        <is>
          <t>All figures are illustrative learning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Day 053 — Scrap Costs and Margin Analysis Presentation</t>
        </is>
      </c>
    </row>
    <row r="3">
      <c r="A3" s="3" t="inlineStr">
        <is>
          <t>Illustrative manufacturing case-study dataset | Scrap Cost | Margin Analysis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2026-09-16T06:56:39Z</dcterms:created>
  <dcterms:modified xmlns:dcterms="http://purl.org/dc/terms/" xmlns:xsi="http://www.w3.org/2001/XMLSchema-instance" xsi:type="dcterms:W3CDTF">2026-09-16T06:56:39Z</dcterms:modified>
</cp:coreProperties>
</file>