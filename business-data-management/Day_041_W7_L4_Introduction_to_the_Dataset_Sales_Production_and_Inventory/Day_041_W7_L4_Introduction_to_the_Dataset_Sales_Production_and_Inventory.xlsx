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_Gears_Dataset" sheetId="1" state="visible" r:id="rId1"/>
    <sheet xmlns:r="http://schemas.openxmlformats.org/officeDocument/2006/relationships" name="Dataset_Context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ales_View" sheetId="4" state="visible" r:id="rId4"/>
    <sheet xmlns:r="http://schemas.openxmlformats.org/officeDocument/2006/relationships" name="Production_View" sheetId="5" state="visible" r:id="rId5"/>
    <sheet xmlns:r="http://schemas.openxmlformats.org/officeDocument/2006/relationships" name="Inventory_View" sheetId="6" state="visible" r:id="rId6"/>
    <sheet xmlns:r="http://schemas.openxmlformats.org/officeDocument/2006/relationships" name="Monthly_View" sheetId="7" state="visible" r:id="rId7"/>
    <sheet xmlns:r="http://schemas.openxmlformats.org/officeDocument/2006/relationships" name="Dataset_Questions" sheetId="8" state="visible" r:id="rId8"/>
    <sheet xmlns:r="http://schemas.openxmlformats.org/officeDocument/2006/relationships" name="Learning_Notes" sheetId="9" state="visible" r:id="rId9"/>
    <sheet xmlns:r="http://schemas.openxmlformats.org/officeDocument/2006/relationships" name="Dataset_Dashboard" sheetId="10" state="visible" r:id="rId10"/>
    <sheet xmlns:r="http://schemas.openxmlformats.org/officeDocument/2006/relationships" name="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Production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'Dataset_Dashboard'!B4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'Dataset_Dashboard'!$A$5:$A$7</f>
            </numRef>
          </cat>
          <val>
            <numRef>
              <f>'Dataset_Dashboard'!$B$5:$B$7</f>
            </numRef>
          </val>
        </ser>
        <ser>
          <idx val="1"/>
          <order val="1"/>
          <tx>
            <strRef>
              <f>'Dataset_Dashboard'!C4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'Dataset_Dashboard'!$A$5:$A$7</f>
            </numRef>
          </cat>
          <val>
            <numRef>
              <f>'Dataset_Dashboard'!$C$5:$C$7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Inventory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'Dataset_Dashboard'!D4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'Dataset_Dashboard'!$A$5:$A$7</f>
            </numRef>
          </cat>
          <val>
            <numRef>
              <f>'Dataset_Dashboard'!$D$5:$D$7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'Dataset_Dashboard'!B10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'Dataset_Dashboard'!$A$11:$A$13</f>
            </numRef>
          </cat>
          <val>
            <numRef>
              <f>'Dataset_Dashboard'!$B$11:$B$13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3" customWidth="1" min="7" max="7"/>
    <col width="13" customWidth="1" min="8" max="8"/>
    <col width="19" customWidth="1" min="9" max="9"/>
    <col width="12" customWidth="1" min="10" max="10"/>
    <col width="17" customWidth="1" min="11" max="11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Customer_Type</t>
        </is>
      </c>
      <c r="F1" s="1" t="inlineStr">
        <is>
          <t>Production_Units</t>
        </is>
      </c>
      <c r="G1" s="1" t="inlineStr">
        <is>
          <t>Sales_Units</t>
        </is>
      </c>
      <c r="H1" s="1" t="inlineStr">
        <is>
          <t>Scrap_Units</t>
        </is>
      </c>
      <c r="I1" s="1" t="inlineStr">
        <is>
          <t>Closing_Inventory</t>
        </is>
      </c>
      <c r="J1" s="1" t="inlineStr">
        <is>
          <t>Revenue</t>
        </is>
      </c>
      <c r="K1" s="1" t="inlineStr">
        <is>
          <t>Production_Cost</t>
        </is>
      </c>
    </row>
    <row r="2">
      <c r="A2" s="2" t="n">
        <v>1</v>
      </c>
      <c r="B2" s="2" t="inlineStr">
        <is>
          <t>Jan-2023</t>
        </is>
      </c>
      <c r="C2" s="2" t="inlineStr">
        <is>
          <t>Gears</t>
        </is>
      </c>
      <c r="D2" s="2" t="inlineStr">
        <is>
          <t>North</t>
        </is>
      </c>
      <c r="E2" s="2" t="inlineStr">
        <is>
          <t>OEM</t>
        </is>
      </c>
      <c r="F2" s="2" t="n">
        <v>1200</v>
      </c>
      <c r="G2" s="2" t="n">
        <v>950</v>
      </c>
      <c r="H2" s="2" t="n">
        <v>180</v>
      </c>
      <c r="I2" s="2" t="n">
        <v>70</v>
      </c>
      <c r="J2" s="2" t="n">
        <v>72000</v>
      </c>
      <c r="K2" s="2" t="n">
        <v>68400</v>
      </c>
    </row>
    <row r="3">
      <c r="A3" s="2" t="n">
        <v>2</v>
      </c>
      <c r="B3" s="2" t="inlineStr">
        <is>
          <t>Jan-2023</t>
        </is>
      </c>
      <c r="C3" s="2" t="inlineStr">
        <is>
          <t>Shafts</t>
        </is>
      </c>
      <c r="D3" s="2" t="inlineStr">
        <is>
          <t>North</t>
        </is>
      </c>
      <c r="E3" s="2" t="inlineStr">
        <is>
          <t>OEM</t>
        </is>
      </c>
      <c r="F3" s="2" t="n">
        <v>900</v>
      </c>
      <c r="G3" s="2" t="n">
        <v>760</v>
      </c>
      <c r="H3" s="2" t="n">
        <v>130</v>
      </c>
      <c r="I3" s="2" t="n">
        <v>10</v>
      </c>
      <c r="J3" s="2" t="n">
        <v>54000</v>
      </c>
      <c r="K3" s="2" t="n">
        <v>57760</v>
      </c>
    </row>
    <row r="4">
      <c r="A4" s="2" t="n">
        <v>3</v>
      </c>
      <c r="B4" s="2" t="inlineStr">
        <is>
          <t>Jan-2023</t>
        </is>
      </c>
      <c r="C4" s="2" t="inlineStr">
        <is>
          <t>Bearings</t>
        </is>
      </c>
      <c r="D4" s="2" t="inlineStr">
        <is>
          <t>North</t>
        </is>
      </c>
      <c r="E4" s="2" t="inlineStr">
        <is>
          <t>Distributor</t>
        </is>
      </c>
      <c r="F4" s="2" t="n">
        <v>1500</v>
      </c>
      <c r="G4" s="2" t="n">
        <v>1260</v>
      </c>
      <c r="H4" s="2" t="n">
        <v>220</v>
      </c>
      <c r="I4" s="2" t="n">
        <v>20</v>
      </c>
      <c r="J4" s="2" t="n">
        <v>75000</v>
      </c>
      <c r="K4" s="2" t="n">
        <v>65520</v>
      </c>
    </row>
    <row r="5">
      <c r="A5" s="2" t="n">
        <v>4</v>
      </c>
      <c r="B5" s="2" t="inlineStr">
        <is>
          <t>Jan-2023</t>
        </is>
      </c>
      <c r="C5" s="2" t="inlineStr">
        <is>
          <t>Gears</t>
        </is>
      </c>
      <c r="D5" s="2" t="inlineStr">
        <is>
          <t>South</t>
        </is>
      </c>
      <c r="E5" s="2" t="inlineStr">
        <is>
          <t>OEM</t>
        </is>
      </c>
      <c r="F5" s="2" t="n">
        <v>1350</v>
      </c>
      <c r="G5" s="2" t="n">
        <v>1100</v>
      </c>
      <c r="H5" s="2" t="n">
        <v>210</v>
      </c>
      <c r="I5" s="2" t="n">
        <v>40</v>
      </c>
      <c r="J5" s="2" t="n">
        <v>81000</v>
      </c>
      <c r="K5" s="2" t="n">
        <v>77000</v>
      </c>
    </row>
    <row r="6">
      <c r="A6" s="2" t="n">
        <v>5</v>
      </c>
      <c r="B6" s="2" t="inlineStr">
        <is>
          <t>Jan-2023</t>
        </is>
      </c>
      <c r="C6" s="2" t="inlineStr">
        <is>
          <t>Shafts</t>
        </is>
      </c>
      <c r="D6" s="2" t="inlineStr">
        <is>
          <t>South</t>
        </is>
      </c>
      <c r="E6" s="2" t="inlineStr">
        <is>
          <t>Distributor</t>
        </is>
      </c>
      <c r="F6" s="2" t="n">
        <v>1050</v>
      </c>
      <c r="G6" s="2" t="n">
        <v>880</v>
      </c>
      <c r="H6" s="2" t="n">
        <v>160</v>
      </c>
      <c r="I6" s="2" t="n">
        <v>10</v>
      </c>
      <c r="J6" s="2" t="n">
        <v>63000</v>
      </c>
      <c r="K6" s="2" t="n">
        <v>56320</v>
      </c>
    </row>
    <row r="7">
      <c r="A7" s="2" t="n">
        <v>6</v>
      </c>
      <c r="B7" s="2" t="inlineStr">
        <is>
          <t>Jan-2023</t>
        </is>
      </c>
      <c r="C7" s="2" t="inlineStr">
        <is>
          <t>Bearings</t>
        </is>
      </c>
      <c r="D7" s="2" t="inlineStr">
        <is>
          <t>South</t>
        </is>
      </c>
      <c r="E7" s="2" t="inlineStr">
        <is>
          <t>OEM</t>
        </is>
      </c>
      <c r="F7" s="2" t="n">
        <v>1650</v>
      </c>
      <c r="G7" s="2" t="n">
        <v>1400</v>
      </c>
      <c r="H7" s="2" t="n">
        <v>250</v>
      </c>
      <c r="I7" s="2" t="n">
        <v>0</v>
      </c>
      <c r="J7" s="2" t="n">
        <v>82500</v>
      </c>
      <c r="K7" s="2" t="n">
        <v>80500</v>
      </c>
    </row>
    <row r="8">
      <c r="A8" s="2" t="n">
        <v>7</v>
      </c>
      <c r="B8" s="2" t="inlineStr">
        <is>
          <t>Jan-2023</t>
        </is>
      </c>
      <c r="C8" s="2" t="inlineStr">
        <is>
          <t>Gears</t>
        </is>
      </c>
      <c r="D8" s="2" t="inlineStr">
        <is>
          <t>West</t>
        </is>
      </c>
      <c r="E8" s="2" t="inlineStr">
        <is>
          <t>Distributor</t>
        </is>
      </c>
      <c r="F8" s="2" t="n">
        <v>980</v>
      </c>
      <c r="G8" s="2" t="n">
        <v>820</v>
      </c>
      <c r="H8" s="2" t="n">
        <v>145</v>
      </c>
      <c r="I8" s="2" t="n">
        <v>15</v>
      </c>
      <c r="J8" s="2" t="n">
        <v>58800</v>
      </c>
      <c r="K8" s="2" t="n">
        <v>50840</v>
      </c>
    </row>
    <row r="9">
      <c r="A9" s="2" t="n">
        <v>8</v>
      </c>
      <c r="B9" s="2" t="inlineStr">
        <is>
          <t>Jan-2023</t>
        </is>
      </c>
      <c r="C9" s="2" t="inlineStr">
        <is>
          <t>Shafts</t>
        </is>
      </c>
      <c r="D9" s="2" t="inlineStr">
        <is>
          <t>West</t>
        </is>
      </c>
      <c r="E9" s="2" t="inlineStr">
        <is>
          <t>OEM</t>
        </is>
      </c>
      <c r="F9" s="2" t="n">
        <v>1120</v>
      </c>
      <c r="G9" s="2" t="n">
        <v>940</v>
      </c>
      <c r="H9" s="2" t="n">
        <v>175</v>
      </c>
      <c r="I9" s="2" t="n">
        <v>5</v>
      </c>
      <c r="J9" s="2" t="n">
        <v>67200</v>
      </c>
      <c r="K9" s="2" t="n">
        <v>65800</v>
      </c>
    </row>
    <row r="10">
      <c r="A10" s="2" t="n">
        <v>9</v>
      </c>
      <c r="B10" s="2" t="inlineStr">
        <is>
          <t>Jan-2023</t>
        </is>
      </c>
      <c r="C10" s="2" t="inlineStr">
        <is>
          <t>Bearings</t>
        </is>
      </c>
      <c r="D10" s="2" t="inlineStr">
        <is>
          <t>West</t>
        </is>
      </c>
      <c r="E10" s="2" t="inlineStr">
        <is>
          <t>Distributor</t>
        </is>
      </c>
      <c r="F10" s="2" t="n">
        <v>1380</v>
      </c>
      <c r="G10" s="2" t="n">
        <v>1160</v>
      </c>
      <c r="H10" s="2" t="n">
        <v>205</v>
      </c>
      <c r="I10" s="2" t="n">
        <v>15</v>
      </c>
      <c r="J10" s="2" t="n">
        <v>69000</v>
      </c>
      <c r="K10" s="2" t="n">
        <v>59890</v>
      </c>
    </row>
    <row r="11">
      <c r="A11" s="2" t="n">
        <v>10</v>
      </c>
      <c r="B11" s="2" t="inlineStr">
        <is>
          <t>Feb-2023</t>
        </is>
      </c>
      <c r="C11" s="2" t="inlineStr">
        <is>
          <t>Gears</t>
        </is>
      </c>
      <c r="D11" s="2" t="inlineStr">
        <is>
          <t>North</t>
        </is>
      </c>
      <c r="E11" s="2" t="inlineStr">
        <is>
          <t>Distributor</t>
        </is>
      </c>
      <c r="F11" s="2" t="n">
        <v>1280</v>
      </c>
      <c r="G11" s="2" t="n">
        <v>1040</v>
      </c>
      <c r="H11" s="2" t="n">
        <v>195</v>
      </c>
      <c r="I11" s="2" t="n">
        <v>45</v>
      </c>
      <c r="J11" s="2" t="n">
        <v>76800</v>
      </c>
      <c r="K11" s="2" t="n">
        <v>71760</v>
      </c>
    </row>
    <row r="12">
      <c r="A12" s="2" t="n">
        <v>11</v>
      </c>
      <c r="B12" s="2" t="inlineStr">
        <is>
          <t>Feb-2023</t>
        </is>
      </c>
      <c r="C12" s="2" t="inlineStr">
        <is>
          <t>Shafts</t>
        </is>
      </c>
      <c r="D12" s="2" t="inlineStr">
        <is>
          <t>North</t>
        </is>
      </c>
      <c r="E12" s="2" t="inlineStr">
        <is>
          <t>Distributor</t>
        </is>
      </c>
      <c r="F12" s="2" t="n">
        <v>970</v>
      </c>
      <c r="G12" s="2" t="n">
        <v>810</v>
      </c>
      <c r="H12" s="2" t="n">
        <v>150</v>
      </c>
      <c r="I12" s="2" t="n">
        <v>10</v>
      </c>
      <c r="J12" s="2" t="n">
        <v>58200</v>
      </c>
      <c r="K12" s="2" t="n">
        <v>53550</v>
      </c>
    </row>
    <row r="13">
      <c r="A13" s="2" t="n">
        <v>12</v>
      </c>
      <c r="B13" s="2" t="inlineStr">
        <is>
          <t>Feb-2023</t>
        </is>
      </c>
      <c r="C13" s="2" t="inlineStr">
        <is>
          <t>Bearings</t>
        </is>
      </c>
      <c r="D13" s="2" t="inlineStr">
        <is>
          <t>North</t>
        </is>
      </c>
      <c r="E13" s="2" t="inlineStr">
        <is>
          <t>OEM</t>
        </is>
      </c>
      <c r="F13" s="2" t="n">
        <v>1580</v>
      </c>
      <c r="G13" s="2" t="n">
        <v>1320</v>
      </c>
      <c r="H13" s="2" t="n">
        <v>235</v>
      </c>
      <c r="I13" s="2" t="n">
        <v>25</v>
      </c>
      <c r="J13" s="2" t="n">
        <v>79000</v>
      </c>
      <c r="K13" s="2" t="n">
        <v>75900</v>
      </c>
    </row>
    <row r="14">
      <c r="A14" s="2" t="n">
        <v>13</v>
      </c>
      <c r="B14" s="2" t="inlineStr">
        <is>
          <t>Feb-2023</t>
        </is>
      </c>
      <c r="C14" s="2" t="inlineStr">
        <is>
          <t>Gears</t>
        </is>
      </c>
      <c r="D14" s="2" t="inlineStr">
        <is>
          <t>South</t>
        </is>
      </c>
      <c r="E14" s="2" t="inlineStr">
        <is>
          <t>OEM</t>
        </is>
      </c>
      <c r="F14" s="2" t="n">
        <v>1420</v>
      </c>
      <c r="G14" s="2" t="n">
        <v>1180</v>
      </c>
      <c r="H14" s="2" t="n">
        <v>225</v>
      </c>
      <c r="I14" s="2" t="n">
        <v>15</v>
      </c>
      <c r="J14" s="2" t="n">
        <v>85200</v>
      </c>
      <c r="K14" s="2" t="n">
        <v>82600</v>
      </c>
    </row>
    <row r="15">
      <c r="A15" s="2" t="n">
        <v>14</v>
      </c>
      <c r="B15" s="2" t="inlineStr">
        <is>
          <t>Feb-2023</t>
        </is>
      </c>
      <c r="C15" s="2" t="inlineStr">
        <is>
          <t>Shafts</t>
        </is>
      </c>
      <c r="D15" s="2" t="inlineStr">
        <is>
          <t>South</t>
        </is>
      </c>
      <c r="E15" s="2" t="inlineStr">
        <is>
          <t>OEM</t>
        </is>
      </c>
      <c r="F15" s="2" t="n">
        <v>1240</v>
      </c>
      <c r="G15" s="2" t="n">
        <v>1010</v>
      </c>
      <c r="H15" s="2" t="n">
        <v>185</v>
      </c>
      <c r="I15" s="2" t="n">
        <v>45</v>
      </c>
      <c r="J15" s="2" t="n">
        <v>74400</v>
      </c>
      <c r="K15" s="2" t="n">
        <v>68350</v>
      </c>
    </row>
    <row r="16">
      <c r="A16" s="2" t="n">
        <v>15</v>
      </c>
      <c r="B16" s="2" t="inlineStr">
        <is>
          <t>Feb-2023</t>
        </is>
      </c>
      <c r="C16" s="2" t="inlineStr">
        <is>
          <t>Bearings</t>
        </is>
      </c>
      <c r="D16" s="2" t="inlineStr">
        <is>
          <t>South</t>
        </is>
      </c>
      <c r="E16" s="2" t="inlineStr">
        <is>
          <t>Distributor</t>
        </is>
      </c>
      <c r="F16" s="2" t="n">
        <v>1460</v>
      </c>
      <c r="G16" s="2" t="n">
        <v>1210</v>
      </c>
      <c r="H16" s="2" t="n">
        <v>215</v>
      </c>
      <c r="I16" s="2" t="n">
        <v>35</v>
      </c>
      <c r="J16" s="2" t="n">
        <v>73000</v>
      </c>
      <c r="K16" s="2" t="n">
        <v>65200</v>
      </c>
    </row>
    <row r="17">
      <c r="A17" s="2" t="n">
        <v>16</v>
      </c>
      <c r="B17" s="2" t="inlineStr">
        <is>
          <t>Feb-2023</t>
        </is>
      </c>
      <c r="C17" s="2" t="inlineStr">
        <is>
          <t>Gears</t>
        </is>
      </c>
      <c r="D17" s="2" t="inlineStr">
        <is>
          <t>West</t>
        </is>
      </c>
      <c r="E17" s="2" t="inlineStr">
        <is>
          <t>OEM</t>
        </is>
      </c>
      <c r="F17" s="2" t="n">
        <v>1100</v>
      </c>
      <c r="G17" s="2" t="n">
        <v>920</v>
      </c>
      <c r="H17" s="2" t="n">
        <v>165</v>
      </c>
      <c r="I17" s="2" t="n">
        <v>15</v>
      </c>
      <c r="J17" s="2" t="n">
        <v>66000</v>
      </c>
      <c r="K17" s="2" t="n">
        <v>60720</v>
      </c>
    </row>
    <row r="18">
      <c r="A18" s="2" t="n">
        <v>17</v>
      </c>
      <c r="B18" s="2" t="inlineStr">
        <is>
          <t>Feb-2023</t>
        </is>
      </c>
      <c r="C18" s="2" t="inlineStr">
        <is>
          <t>Shafts</t>
        </is>
      </c>
      <c r="D18" s="2" t="inlineStr">
        <is>
          <t>West</t>
        </is>
      </c>
      <c r="E18" s="2" t="inlineStr">
        <is>
          <t>Distributor</t>
        </is>
      </c>
      <c r="F18" s="2" t="n">
        <v>1080</v>
      </c>
      <c r="G18" s="2" t="n">
        <v>900</v>
      </c>
      <c r="H18" s="2" t="n">
        <v>170</v>
      </c>
      <c r="I18" s="2" t="n">
        <v>10</v>
      </c>
      <c r="J18" s="2" t="n">
        <v>64800</v>
      </c>
      <c r="K18" s="2" t="n">
        <v>62100</v>
      </c>
    </row>
    <row r="19">
      <c r="A19" s="2" t="n">
        <v>18</v>
      </c>
      <c r="B19" s="2" t="inlineStr">
        <is>
          <t>Feb-2023</t>
        </is>
      </c>
      <c r="C19" s="2" t="inlineStr">
        <is>
          <t>Bearings</t>
        </is>
      </c>
      <c r="D19" s="2" t="inlineStr">
        <is>
          <t>West</t>
        </is>
      </c>
      <c r="E19" s="2" t="inlineStr">
        <is>
          <t>OEM</t>
        </is>
      </c>
      <c r="F19" s="2" t="n">
        <v>1710</v>
      </c>
      <c r="G19" s="2" t="n">
        <v>1450</v>
      </c>
      <c r="H19" s="2" t="n">
        <v>260</v>
      </c>
      <c r="I19" s="2" t="n">
        <v>0</v>
      </c>
      <c r="J19" s="2" t="n">
        <v>85500</v>
      </c>
      <c r="K19" s="2" t="n">
        <v>83850</v>
      </c>
    </row>
    <row r="20">
      <c r="A20" s="2" t="n">
        <v>19</v>
      </c>
      <c r="B20" s="2" t="inlineStr">
        <is>
          <t>Mar-2023</t>
        </is>
      </c>
      <c r="C20" s="2" t="inlineStr">
        <is>
          <t>Gears</t>
        </is>
      </c>
      <c r="D20" s="2" t="inlineStr">
        <is>
          <t>North</t>
        </is>
      </c>
      <c r="E20" s="2" t="inlineStr">
        <is>
          <t>OEM</t>
        </is>
      </c>
      <c r="F20" s="2" t="n">
        <v>1320</v>
      </c>
      <c r="G20" s="2" t="n">
        <v>1090</v>
      </c>
      <c r="H20" s="2" t="n">
        <v>205</v>
      </c>
      <c r="I20" s="2" t="n">
        <v>25</v>
      </c>
      <c r="J20" s="2" t="n">
        <v>79200</v>
      </c>
      <c r="K20" s="2" t="n">
        <v>77000</v>
      </c>
    </row>
    <row r="21">
      <c r="A21" s="2" t="n">
        <v>20</v>
      </c>
      <c r="B21" s="2" t="inlineStr">
        <is>
          <t>Mar-2023</t>
        </is>
      </c>
      <c r="C21" s="2" t="inlineStr">
        <is>
          <t>Shafts</t>
        </is>
      </c>
      <c r="D21" s="2" t="inlineStr">
        <is>
          <t>South</t>
        </is>
      </c>
      <c r="E21" s="2" t="inlineStr">
        <is>
          <t>Distributor</t>
        </is>
      </c>
      <c r="F21" s="2" t="n">
        <v>1160</v>
      </c>
      <c r="G21" s="2" t="n">
        <v>950</v>
      </c>
      <c r="H21" s="2" t="n">
        <v>180</v>
      </c>
      <c r="I21" s="2" t="n">
        <v>30</v>
      </c>
      <c r="J21" s="2" t="n">
        <v>69600</v>
      </c>
      <c r="K21" s="2" t="n">
        <v>61700</v>
      </c>
    </row>
    <row r="22">
      <c r="A22" s="2" t="n">
        <v>21</v>
      </c>
      <c r="B22" s="2" t="inlineStr">
        <is>
          <t>Mar-2023</t>
        </is>
      </c>
      <c r="C22" s="2" t="inlineStr">
        <is>
          <t>Bearings</t>
        </is>
      </c>
      <c r="D22" s="2" t="inlineStr">
        <is>
          <t>South</t>
        </is>
      </c>
      <c r="E22" s="2" t="inlineStr">
        <is>
          <t>OEM</t>
        </is>
      </c>
      <c r="F22" s="2" t="n">
        <v>1700</v>
      </c>
      <c r="G22" s="2" t="n">
        <v>1430</v>
      </c>
      <c r="H22" s="2" t="n">
        <v>255</v>
      </c>
      <c r="I22" s="2" t="n">
        <v>15</v>
      </c>
      <c r="J22" s="2" t="n">
        <v>85000</v>
      </c>
      <c r="K22" s="2" t="n">
        <v>82000</v>
      </c>
    </row>
    <row r="23">
      <c r="A23" s="2" t="n">
        <v>22</v>
      </c>
      <c r="B23" s="2" t="inlineStr">
        <is>
          <t>Mar-2023</t>
        </is>
      </c>
      <c r="C23" s="2" t="inlineStr">
        <is>
          <t>Gears</t>
        </is>
      </c>
      <c r="D23" s="2" t="inlineStr">
        <is>
          <t>West</t>
        </is>
      </c>
      <c r="E23" s="2" t="inlineStr">
        <is>
          <t>Distributor</t>
        </is>
      </c>
      <c r="F23" s="2" t="n">
        <v>1180</v>
      </c>
      <c r="G23" s="2" t="n">
        <v>980</v>
      </c>
      <c r="H23" s="2" t="n">
        <v>185</v>
      </c>
      <c r="I23" s="2" t="n">
        <v>15</v>
      </c>
      <c r="J23" s="2" t="n">
        <v>70800</v>
      </c>
      <c r="K23" s="2" t="n">
        <v>62720</v>
      </c>
    </row>
    <row r="24">
      <c r="A24" s="2" t="n">
        <v>23</v>
      </c>
      <c r="B24" s="2" t="inlineStr">
        <is>
          <t>Mar-2023</t>
        </is>
      </c>
      <c r="C24" s="2" t="inlineStr">
        <is>
          <t>Shafts</t>
        </is>
      </c>
      <c r="D24" s="2" t="inlineStr">
        <is>
          <t>North</t>
        </is>
      </c>
      <c r="E24" s="2" t="inlineStr">
        <is>
          <t>OEM</t>
        </is>
      </c>
      <c r="F24" s="2" t="n">
        <v>1150</v>
      </c>
      <c r="G24" s="2" t="n">
        <v>960</v>
      </c>
      <c r="H24" s="2" t="n">
        <v>175</v>
      </c>
      <c r="I24" s="2" t="n">
        <v>15</v>
      </c>
      <c r="J24" s="2" t="n">
        <v>69000</v>
      </c>
      <c r="K24" s="2" t="n">
        <v>66000</v>
      </c>
    </row>
    <row r="25">
      <c r="A25" s="2" t="n">
        <v>24</v>
      </c>
      <c r="B25" s="2" t="inlineStr">
        <is>
          <t>Mar-2023</t>
        </is>
      </c>
      <c r="C25" s="2" t="inlineStr">
        <is>
          <t>Bearings</t>
        </is>
      </c>
      <c r="D25" s="2" t="inlineStr">
        <is>
          <t>West</t>
        </is>
      </c>
      <c r="E25" s="2" t="inlineStr">
        <is>
          <t>Distributor</t>
        </is>
      </c>
      <c r="F25" s="2" t="n">
        <v>1520</v>
      </c>
      <c r="G25" s="2" t="n">
        <v>1280</v>
      </c>
      <c r="H25" s="2" t="n">
        <v>225</v>
      </c>
      <c r="I25" s="2" t="n">
        <v>15</v>
      </c>
      <c r="J25" s="2" t="n">
        <v>76000</v>
      </c>
      <c r="K25" s="2" t="n">
        <v>66000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Introduce the structure of the ACE Gears practice dataset</t>
        </is>
      </c>
    </row>
    <row r="3">
      <c r="A3" s="2" t="inlineStr">
        <is>
          <t>Main Views</t>
        </is>
      </c>
      <c r="B3" s="2" t="inlineStr">
        <is>
          <t>Sales, Production and Inventory</t>
        </is>
      </c>
    </row>
    <row r="4">
      <c r="A4" s="2" t="inlineStr">
        <is>
          <t>Dimensions</t>
        </is>
      </c>
      <c r="B4" s="2" t="inlineStr">
        <is>
          <t>Month, Product, Region, Customer Type</t>
        </is>
      </c>
    </row>
    <row r="5">
      <c r="A5" s="2" t="inlineStr">
        <is>
          <t>Operational Measures</t>
        </is>
      </c>
      <c r="B5" s="2" t="inlineStr">
        <is>
          <t>Production Units, Sales Units, Scrap Units, Closing Inventory</t>
        </is>
      </c>
    </row>
    <row r="6">
      <c r="A6" s="2" t="inlineStr">
        <is>
          <t>Financial Measures</t>
        </is>
      </c>
      <c r="B6" s="2" t="inlineStr">
        <is>
          <t>Revenue, Production Cost</t>
        </is>
      </c>
    </row>
    <row r="7">
      <c r="A7" s="2" t="inlineStr">
        <is>
          <t>Scope</t>
        </is>
      </c>
      <c r="B7" s="2" t="inlineStr">
        <is>
          <t>Day 041 focuses on understanding the dataset structure</t>
        </is>
      </c>
    </row>
    <row r="8">
      <c r="A8" s="2" t="inlineStr">
        <is>
          <t>Data Status</t>
        </is>
      </c>
      <c r="B8" s="2" t="inlineStr">
        <is>
          <t>Illustrative learning dataset; not the official IITM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0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Category</t>
        </is>
      </c>
    </row>
    <row r="2">
      <c r="A2" s="2" t="inlineStr">
        <is>
          <t>Record_ID</t>
        </is>
      </c>
      <c r="B2" s="2" t="inlineStr">
        <is>
          <t>Unique observation identifier</t>
        </is>
      </c>
      <c r="C2" s="2" t="inlineStr">
        <is>
          <t>Identifier</t>
        </is>
      </c>
    </row>
    <row r="3">
      <c r="A3" s="2" t="inlineStr">
        <is>
          <t>Month</t>
        </is>
      </c>
      <c r="B3" s="2" t="inlineStr">
        <is>
          <t>Observation month</t>
        </is>
      </c>
      <c r="C3" s="2" t="inlineStr">
        <is>
          <t>Time</t>
        </is>
      </c>
    </row>
    <row r="4">
      <c r="A4" s="2" t="inlineStr">
        <is>
          <t>Product</t>
        </is>
      </c>
      <c r="B4" s="2" t="inlineStr">
        <is>
          <t>Manufactured product</t>
        </is>
      </c>
      <c r="C4" s="2" t="inlineStr">
        <is>
          <t>Dimension</t>
        </is>
      </c>
    </row>
    <row r="5">
      <c r="A5" s="2" t="inlineStr">
        <is>
          <t>Region</t>
        </is>
      </c>
      <c r="B5" s="2" t="inlineStr">
        <is>
          <t>Business region</t>
        </is>
      </c>
      <c r="C5" s="2" t="inlineStr">
        <is>
          <t>Dimension</t>
        </is>
      </c>
    </row>
    <row r="6">
      <c r="A6" s="2" t="inlineStr">
        <is>
          <t>Customer_Type</t>
        </is>
      </c>
      <c r="B6" s="2" t="inlineStr">
        <is>
          <t>Customer group</t>
        </is>
      </c>
      <c r="C6" s="2" t="inlineStr">
        <is>
          <t>Dimension</t>
        </is>
      </c>
    </row>
    <row r="7">
      <c r="A7" s="2" t="inlineStr">
        <is>
          <t>Production_Units</t>
        </is>
      </c>
      <c r="B7" s="2" t="inlineStr">
        <is>
          <t>Units produced</t>
        </is>
      </c>
      <c r="C7" s="2" t="inlineStr">
        <is>
          <t>Production</t>
        </is>
      </c>
    </row>
    <row r="8">
      <c r="A8" s="2" t="inlineStr">
        <is>
          <t>Sales_Units</t>
        </is>
      </c>
      <c r="B8" s="2" t="inlineStr">
        <is>
          <t>Units sold</t>
        </is>
      </c>
      <c r="C8" s="2" t="inlineStr">
        <is>
          <t>Sales</t>
        </is>
      </c>
    </row>
    <row r="9">
      <c r="A9" s="2" t="inlineStr">
        <is>
          <t>Scrap_Units</t>
        </is>
      </c>
      <c r="B9" s="2" t="inlineStr">
        <is>
          <t>Units recorded as scrap</t>
        </is>
      </c>
      <c r="C9" s="2" t="inlineStr">
        <is>
          <t>Production Quality</t>
        </is>
      </c>
    </row>
    <row r="10">
      <c r="A10" s="2" t="inlineStr">
        <is>
          <t>Closing_Inventory</t>
        </is>
      </c>
      <c r="B10" s="2" t="inlineStr">
        <is>
          <t>Units remaining at period end</t>
        </is>
      </c>
      <c r="C10" s="2" t="inlineStr">
        <is>
          <t>Inventory</t>
        </is>
      </c>
    </row>
    <row r="11">
      <c r="A11" s="2" t="inlineStr">
        <is>
          <t>Revenue</t>
        </is>
      </c>
      <c r="B11" s="2" t="inlineStr">
        <is>
          <t>Recorded sales value</t>
        </is>
      </c>
      <c r="C11" s="2" t="inlineStr">
        <is>
          <t>Finance</t>
        </is>
      </c>
    </row>
    <row r="12">
      <c r="A12" s="2" t="inlineStr">
        <is>
          <t>Production_Cost</t>
        </is>
      </c>
      <c r="B12" s="2" t="inlineStr">
        <is>
          <t>Recorded production cost</t>
        </is>
      </c>
      <c r="C12" s="2" t="inlineStr">
        <is>
          <t>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>
      <c r="A1" s="1" t="inlineStr">
        <is>
          <t>Product</t>
        </is>
      </c>
      <c r="B1" s="1" t="inlineStr">
        <is>
          <t>Sales Units</t>
        </is>
      </c>
      <c r="C1" s="1" t="inlineStr">
        <is>
          <t>Revenue</t>
        </is>
      </c>
    </row>
    <row r="2">
      <c r="A2" s="2" t="inlineStr">
        <is>
          <t>Gears</t>
        </is>
      </c>
      <c r="B2" s="2">
        <f>SUMIF(ACE_Gears_Dataset!$C$2:$C$25,A2,ACE_Gears_Dataset!$G$2:$G$25)</f>
        <v/>
      </c>
      <c r="C2" s="2">
        <f>SUMIF(ACE_Gears_Dataset!$C$2:$C$25,A2,ACE_Gears_Dataset!$J$2:$J$25)</f>
        <v/>
      </c>
    </row>
    <row r="3">
      <c r="A3" s="2" t="inlineStr">
        <is>
          <t>Shafts</t>
        </is>
      </c>
      <c r="B3" s="2">
        <f>SUMIF(ACE_Gears_Dataset!$C$2:$C$25,A3,ACE_Gears_Dataset!$G$2:$G$25)</f>
        <v/>
      </c>
      <c r="C3" s="2">
        <f>SUMIF(ACE_Gears_Dataset!$C$2:$C$25,A3,ACE_Gears_Dataset!$J$2:$J$25)</f>
        <v/>
      </c>
    </row>
    <row r="4">
      <c r="A4" s="2" t="inlineStr">
        <is>
          <t>Bearings</t>
        </is>
      </c>
      <c r="B4" s="2">
        <f>SUMIF(ACE_Gears_Dataset!$C$2:$C$25,A4,ACE_Gears_Dataset!$G$2:$G$25)</f>
        <v/>
      </c>
      <c r="C4" s="2">
        <f>SUMIF(ACE_Gears_Dataset!$C$2:$C$25,A4,ACE_Gears_Dataset!$J$2:$J$25)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Production Units</t>
        </is>
      </c>
      <c r="C1" s="1" t="inlineStr">
        <is>
          <t>Scrap Units</t>
        </is>
      </c>
      <c r="D1" s="1" t="inlineStr">
        <is>
          <t>Scrap Rate</t>
        </is>
      </c>
    </row>
    <row r="2">
      <c r="A2" s="2" t="inlineStr">
        <is>
          <t>Gears</t>
        </is>
      </c>
      <c r="B2" s="2">
        <f>SUMIF(ACE_Gears_Dataset!$C$2:$C$25,A2,ACE_Gears_Dataset!$F$2:$F$25)</f>
        <v/>
      </c>
      <c r="C2" s="2">
        <f>SUMIF(ACE_Gears_Dataset!$C$2:$C$25,A2,ACE_Gears_Dataset!$H$2:$H$25)</f>
        <v/>
      </c>
      <c r="D2" s="2">
        <f>C2/B2</f>
        <v/>
      </c>
    </row>
    <row r="3">
      <c r="A3" s="2" t="inlineStr">
        <is>
          <t>Shafts</t>
        </is>
      </c>
      <c r="B3" s="2">
        <f>SUMIF(ACE_Gears_Dataset!$C$2:$C$25,A3,ACE_Gears_Dataset!$F$2:$F$25)</f>
        <v/>
      </c>
      <c r="C3" s="2">
        <f>SUMIF(ACE_Gears_Dataset!$C$2:$C$25,A3,ACE_Gears_Dataset!$H$2:$H$25)</f>
        <v/>
      </c>
      <c r="D3" s="2">
        <f>C3/B3</f>
        <v/>
      </c>
    </row>
    <row r="4">
      <c r="A4" s="2" t="inlineStr">
        <is>
          <t>Bearings</t>
        </is>
      </c>
      <c r="B4" s="2">
        <f>SUMIF(ACE_Gears_Dataset!$C$2:$C$25,A4,ACE_Gears_Dataset!$F$2:$F$25)</f>
        <v/>
      </c>
      <c r="C4" s="2">
        <f>SUMIF(ACE_Gears_Dataset!$C$2:$C$25,A4,ACE_Gears_Dataset!$H$2:$H$25)</f>
        <v/>
      </c>
      <c r="D4" s="2">
        <f>C4/B4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30" customWidth="1" min="4" max="4"/>
  </cols>
  <sheetData>
    <row r="1">
      <c r="A1" s="1" t="inlineStr">
        <is>
          <t>Product</t>
        </is>
      </c>
      <c r="B1" s="1" t="inlineStr">
        <is>
          <t>Closing Inventory</t>
        </is>
      </c>
      <c r="C1" s="1" t="inlineStr">
        <is>
          <t>Production Units</t>
        </is>
      </c>
      <c r="D1" s="1" t="inlineStr">
        <is>
          <t>Inventory as % of Production</t>
        </is>
      </c>
    </row>
    <row r="2">
      <c r="A2" s="2" t="inlineStr">
        <is>
          <t>Gears</t>
        </is>
      </c>
      <c r="B2" s="2">
        <f>SUMIF(ACE_Gears_Dataset!$C$2:$C$25,A2,ACE_Gears_Dataset!$I$2:$I$25)</f>
        <v/>
      </c>
      <c r="C2" s="2">
        <f>SUMIF(ACE_Gears_Dataset!$C$2:$C$25,A2,ACE_Gears_Dataset!$F$2:$F$25)</f>
        <v/>
      </c>
      <c r="D2" s="2">
        <f>B2/C2</f>
        <v/>
      </c>
    </row>
    <row r="3">
      <c r="A3" s="2" t="inlineStr">
        <is>
          <t>Shafts</t>
        </is>
      </c>
      <c r="B3" s="2">
        <f>SUMIF(ACE_Gears_Dataset!$C$2:$C$25,A3,ACE_Gears_Dataset!$I$2:$I$25)</f>
        <v/>
      </c>
      <c r="C3" s="2">
        <f>SUMIF(ACE_Gears_Dataset!$C$2:$C$25,A3,ACE_Gears_Dataset!$F$2:$F$25)</f>
        <v/>
      </c>
      <c r="D3" s="2">
        <f>B3/C3</f>
        <v/>
      </c>
    </row>
    <row r="4">
      <c r="A4" s="2" t="inlineStr">
        <is>
          <t>Bearings</t>
        </is>
      </c>
      <c r="B4" s="2">
        <f>SUMIF(ACE_Gears_Dataset!$C$2:$C$25,A4,ACE_Gears_Dataset!$I$2:$I$25)</f>
        <v/>
      </c>
      <c r="C4" s="2">
        <f>SUMIF(ACE_Gears_Dataset!$C$2:$C$25,A4,ACE_Gears_Dataset!$F$2:$F$25)</f>
        <v/>
      </c>
      <c r="D4" s="2">
        <f>B4/C4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Month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Closing Inventory</t>
        </is>
      </c>
      <c r="E1" s="1" t="inlineStr">
        <is>
          <t>Revenue</t>
        </is>
      </c>
    </row>
    <row r="2">
      <c r="A2" s="2" t="inlineStr">
        <is>
          <t>Jan-2023</t>
        </is>
      </c>
      <c r="B2" s="2">
        <f>SUMIF(ACE_Gears_Dataset!$B$2:$B$25,A2,ACE_Gears_Dataset!$F$2:$F$25)</f>
        <v/>
      </c>
      <c r="C2" s="2">
        <f>SUMIF(ACE_Gears_Dataset!$B$2:$B$25,A2,ACE_Gears_Dataset!$G$2:$G$25)</f>
        <v/>
      </c>
      <c r="D2" s="2">
        <f>SUMIF(ACE_Gears_Dataset!$B$2:$B$25,A2,ACE_Gears_Dataset!$I$2:$I$25)</f>
        <v/>
      </c>
      <c r="E2" s="2">
        <f>SUMIF(ACE_Gears_Dataset!$B$2:$B$25,A2,ACE_Gears_Dataset!$J$2:$J$25)</f>
        <v/>
      </c>
    </row>
    <row r="3">
      <c r="A3" s="2" t="inlineStr">
        <is>
          <t>Feb-2023</t>
        </is>
      </c>
      <c r="B3" s="2">
        <f>SUMIF(ACE_Gears_Dataset!$B$2:$B$25,A3,ACE_Gears_Dataset!$F$2:$F$25)</f>
        <v/>
      </c>
      <c r="C3" s="2">
        <f>SUMIF(ACE_Gears_Dataset!$B$2:$B$25,A3,ACE_Gears_Dataset!$G$2:$G$25)</f>
        <v/>
      </c>
      <c r="D3" s="2">
        <f>SUMIF(ACE_Gears_Dataset!$B$2:$B$25,A3,ACE_Gears_Dataset!$I$2:$I$25)</f>
        <v/>
      </c>
      <c r="E3" s="2">
        <f>SUMIF(ACE_Gears_Dataset!$B$2:$B$25,A3,ACE_Gears_Dataset!$J$2:$J$25)</f>
        <v/>
      </c>
    </row>
    <row r="4">
      <c r="A4" s="2" t="inlineStr">
        <is>
          <t>Mar-2023</t>
        </is>
      </c>
      <c r="B4" s="2">
        <f>SUMIF(ACE_Gears_Dataset!$B$2:$B$25,A4,ACE_Gears_Dataset!$F$2:$F$25)</f>
        <v/>
      </c>
      <c r="C4" s="2">
        <f>SUMIF(ACE_Gears_Dataset!$B$2:$B$25,A4,ACE_Gears_Dataset!$G$2:$G$25)</f>
        <v/>
      </c>
      <c r="D4" s="2">
        <f>SUMIF(ACE_Gears_Dataset!$B$2:$B$25,A4,ACE_Gears_Dataset!$I$2:$I$25)</f>
        <v/>
      </c>
      <c r="E4" s="2">
        <f>SUMIF(ACE_Gears_Dataset!$B$2:$B$25,A4,ACE_Gears_Dataset!$J$2:$J$25)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ID</t>
        </is>
      </c>
      <c r="B1" s="1" t="inlineStr">
        <is>
          <t>Question</t>
        </is>
      </c>
    </row>
    <row r="2">
      <c r="A2" s="2" t="n">
        <v>1</v>
      </c>
      <c r="B2" s="2" t="inlineStr">
        <is>
          <t>What dimensions are available in the dataset?</t>
        </is>
      </c>
    </row>
    <row r="3">
      <c r="A3" s="2" t="n">
        <v>2</v>
      </c>
      <c r="B3" s="2" t="inlineStr">
        <is>
          <t>Which fields describe production?</t>
        </is>
      </c>
    </row>
    <row r="4">
      <c r="A4" s="2" t="n">
        <v>3</v>
      </c>
      <c r="B4" s="2" t="inlineStr">
        <is>
          <t>Which fields describe sales?</t>
        </is>
      </c>
    </row>
    <row r="5">
      <c r="A5" s="2" t="n">
        <v>4</v>
      </c>
      <c r="B5" s="2" t="inlineStr">
        <is>
          <t>Which field represents closing inventory?</t>
        </is>
      </c>
    </row>
    <row r="6">
      <c r="A6" s="2" t="n">
        <v>5</v>
      </c>
      <c r="B6" s="2" t="inlineStr">
        <is>
          <t>How can production and sales be compared?</t>
        </is>
      </c>
    </row>
    <row r="7">
      <c r="A7" s="2" t="n">
        <v>6</v>
      </c>
      <c r="B7" s="2" t="inlineStr">
        <is>
          <t>How can inventory be summarized by product?</t>
        </is>
      </c>
    </row>
    <row r="8">
      <c r="A8" s="2" t="n">
        <v>7</v>
      </c>
      <c r="B8" s="2" t="inlineStr">
        <is>
          <t>How can the dataset be grouped by month?</t>
        </is>
      </c>
    </row>
    <row r="9">
      <c r="A9" s="2" t="n">
        <v>8</v>
      </c>
      <c r="B9" s="2" t="inlineStr">
        <is>
          <t>What is the relationship between revenue and sales units?</t>
        </is>
      </c>
    </row>
    <row r="10">
      <c r="A10" s="2" t="n">
        <v>9</v>
      </c>
      <c r="B10" s="2" t="inlineStr">
        <is>
          <t>What does scrap add to the production analysis?</t>
        </is>
      </c>
    </row>
    <row r="11">
      <c r="A11" s="2" t="n">
        <v>10</v>
      </c>
      <c r="B11" s="2" t="inlineStr">
        <is>
          <t>Which fields could support a deeper case analysis?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Learning Point</t>
        </is>
      </c>
    </row>
    <row r="2">
      <c r="A2" s="2" t="inlineStr">
        <is>
          <t>Dataset</t>
        </is>
      </c>
      <c r="B2" s="2" t="inlineStr">
        <is>
          <t>Start by understanding rows, columns and field meanings.</t>
        </is>
      </c>
    </row>
    <row r="3">
      <c r="A3" s="2" t="inlineStr">
        <is>
          <t>Sales</t>
        </is>
      </c>
      <c r="B3" s="2" t="inlineStr">
        <is>
          <t>Sales Units and Revenue provide volume and value views.</t>
        </is>
      </c>
    </row>
    <row r="4">
      <c r="A4" s="2" t="inlineStr">
        <is>
          <t>Production</t>
        </is>
      </c>
      <c r="B4" s="2" t="inlineStr">
        <is>
          <t>Production Units and Scrap Units describe manufacturing activity.</t>
        </is>
      </c>
    </row>
    <row r="5">
      <c r="A5" s="2" t="inlineStr">
        <is>
          <t>Inventory</t>
        </is>
      </c>
      <c r="B5" s="2" t="inlineStr">
        <is>
          <t>Closing Inventory represents units remaining at period end.</t>
        </is>
      </c>
    </row>
    <row r="6">
      <c r="A6" s="2" t="inlineStr">
        <is>
          <t>Dimensions</t>
        </is>
      </c>
      <c r="B6" s="2" t="inlineStr">
        <is>
          <t>Product, Region, Customer Type and Month organize analysis.</t>
        </is>
      </c>
    </row>
    <row r="7">
      <c r="A7" s="2" t="inlineStr">
        <is>
          <t>Validation</t>
        </is>
      </c>
      <c r="B7" s="2" t="inlineStr">
        <is>
          <t>Check totals and categories before creating insights.</t>
        </is>
      </c>
    </row>
    <row r="8">
      <c r="A8" s="2" t="inlineStr">
        <is>
          <t>Next Step</t>
        </is>
      </c>
      <c r="B8" s="2" t="inlineStr">
        <is>
          <t>Use the dataset for detailed case analysis after understanding its structure.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ACE GEARS — DATASET INTRODUCTION</t>
        </is>
      </c>
      <c r="B1" s="1" t="n"/>
      <c r="C1" s="1" t="n"/>
      <c r="D1" s="1" t="n"/>
    </row>
    <row r="2">
      <c r="A2" s="2" t="inlineStr">
        <is>
          <t>Day 041 | Sales, Production and Inventory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inlineStr">
        <is>
          <t>Product</t>
        </is>
      </c>
      <c r="B4" s="2" t="inlineStr">
        <is>
          <t>Sales Units</t>
        </is>
      </c>
      <c r="C4" s="2" t="inlineStr">
        <is>
          <t>Production Units</t>
        </is>
      </c>
      <c r="D4" s="2" t="inlineStr">
        <is>
          <t>Closing Inventory</t>
        </is>
      </c>
    </row>
    <row r="5">
      <c r="A5" s="2" t="inlineStr">
        <is>
          <t>Gears</t>
        </is>
      </c>
      <c r="B5" s="2">
        <f>SUMIF(ACE_Gears_Dataset!$C$2:$C$25,A5,ACE_Gears_Dataset!$G$2:$G$25)</f>
        <v/>
      </c>
      <c r="C5" s="2">
        <f>SUMIF(ACE_Gears_Dataset!$C$2:$C$25,A5,ACE_Gears_Dataset!$F$2:$F$25)</f>
        <v/>
      </c>
      <c r="D5" s="2">
        <f>SUMIF(ACE_Gears_Dataset!$C$2:$C$25,A5,ACE_Gears_Dataset!$I$2:$I$25)</f>
        <v/>
      </c>
    </row>
    <row r="6">
      <c r="A6" s="2" t="inlineStr">
        <is>
          <t>Shafts</t>
        </is>
      </c>
      <c r="B6" s="2">
        <f>SUMIF(ACE_Gears_Dataset!$C$2:$C$25,A6,ACE_Gears_Dataset!$G$2:$G$25)</f>
        <v/>
      </c>
      <c r="C6" s="2">
        <f>SUMIF(ACE_Gears_Dataset!$C$2:$C$25,A6,ACE_Gears_Dataset!$F$2:$F$25)</f>
        <v/>
      </c>
      <c r="D6" s="2">
        <f>SUMIF(ACE_Gears_Dataset!$C$2:$C$25,A6,ACE_Gears_Dataset!$I$2:$I$25)</f>
        <v/>
      </c>
    </row>
    <row r="7">
      <c r="A7" s="2" t="inlineStr">
        <is>
          <t>Bearings</t>
        </is>
      </c>
      <c r="B7" s="2">
        <f>SUMIF(ACE_Gears_Dataset!$C$2:$C$25,A7,ACE_Gears_Dataset!$G$2:$G$25)</f>
        <v/>
      </c>
      <c r="C7" s="2">
        <f>SUMIF(ACE_Gears_Dataset!$C$2:$C$25,A7,ACE_Gears_Dataset!$F$2:$F$25)</f>
        <v/>
      </c>
      <c r="D7" s="2">
        <f>SUMIF(ACE_Gears_Dataset!$C$2:$C$25,A7,ACE_Gears_Dataset!$I$2:$I$25)</f>
        <v/>
      </c>
    </row>
    <row r="8">
      <c r="A8" s="2" t="n"/>
      <c r="B8" s="2" t="n"/>
      <c r="C8" s="2" t="n"/>
      <c r="D8" s="2" t="n"/>
    </row>
    <row r="9">
      <c r="A9" s="2" t="inlineStr">
        <is>
          <t>Month</t>
        </is>
      </c>
      <c r="B9" s="2" t="inlineStr">
        <is>
          <t>Revenue</t>
        </is>
      </c>
      <c r="C9" s="2" t="inlineStr">
        <is>
          <t>Sales Units</t>
        </is>
      </c>
      <c r="D9" s="2" t="inlineStr">
        <is>
          <t>Production Units</t>
        </is>
      </c>
    </row>
    <row r="10">
      <c r="A10" s="2" t="n"/>
      <c r="B10" s="2" t="n"/>
      <c r="C10" s="2" t="n"/>
      <c r="D10" s="2" t="n"/>
    </row>
    <row r="11">
      <c r="A11" s="2" t="inlineStr">
        <is>
          <t>Jan-2023</t>
        </is>
      </c>
      <c r="B11" s="2">
        <f>SUMIF(ACE_Gears_Dataset!$B$2:$B$25,A11,ACE_Gears_Dataset!$J$2:$J$25)</f>
        <v/>
      </c>
      <c r="C11" s="2">
        <f>SUMIF(ACE_Gears_Dataset!$B$2:$B$25,A11,ACE_Gears_Dataset!$G$2:$G$25)</f>
        <v/>
      </c>
      <c r="D11" s="2">
        <f>SUMIF(ACE_Gears_Dataset!$B$2:$B$25,A11,ACE_Gears_Dataset!$F$2:$F$25)</f>
        <v/>
      </c>
    </row>
    <row r="12">
      <c r="A12" s="2" t="inlineStr">
        <is>
          <t>Feb-2023</t>
        </is>
      </c>
      <c r="B12" s="2">
        <f>SUMIF(ACE_Gears_Dataset!$B$2:$B$25,A12,ACE_Gears_Dataset!$J$2:$J$25)</f>
        <v/>
      </c>
      <c r="C12" s="2">
        <f>SUMIF(ACE_Gears_Dataset!$B$2:$B$25,A12,ACE_Gears_Dataset!$G$2:$G$25)</f>
        <v/>
      </c>
      <c r="D12" s="2">
        <f>SUMIF(ACE_Gears_Dataset!$B$2:$B$25,A12,ACE_Gears_Dataset!$F$2:$F$25)</f>
        <v/>
      </c>
    </row>
    <row r="13">
      <c r="A13" s="2" t="inlineStr">
        <is>
          <t>Mar-2023</t>
        </is>
      </c>
      <c r="B13" s="2">
        <f>SUMIF(ACE_Gears_Dataset!$B$2:$B$25,A13,ACE_Gears_Dataset!$J$2:$J$25)</f>
        <v/>
      </c>
      <c r="C13" s="2">
        <f>SUMIF(ACE_Gears_Dataset!$B$2:$B$25,A13,ACE_Gears_Dataset!$G$2:$G$25)</f>
        <v/>
      </c>
      <c r="D13" s="2">
        <f>SUMIF(ACE_Gears_Dataset!$B$2:$B$25,A13,ACE_Gears_Dataset!$F$2:$F$25)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Read Dataset_Context.</t>
        </is>
      </c>
    </row>
    <row r="3">
      <c r="A3" s="2" t="n">
        <v>2</v>
      </c>
      <c r="B3" s="2" t="inlineStr">
        <is>
          <t>Read Data_Dictionary.</t>
        </is>
      </c>
    </row>
    <row r="4">
      <c r="A4" s="2" t="n">
        <v>3</v>
      </c>
      <c r="B4" s="2" t="inlineStr">
        <is>
          <t>Inspect ACE_Gears_Dataset.</t>
        </is>
      </c>
    </row>
    <row r="5">
      <c r="A5" s="2" t="n">
        <v>4</v>
      </c>
      <c r="B5" s="2" t="inlineStr">
        <is>
          <t>Review Sales_View.</t>
        </is>
      </c>
    </row>
    <row r="6">
      <c r="A6" s="2" t="n">
        <v>5</v>
      </c>
      <c r="B6" s="2" t="inlineStr">
        <is>
          <t>Review Production_View.</t>
        </is>
      </c>
    </row>
    <row r="7">
      <c r="A7" s="2" t="n">
        <v>6</v>
      </c>
      <c r="B7" s="2" t="inlineStr">
        <is>
          <t>Review Inventory_View.</t>
        </is>
      </c>
    </row>
    <row r="8">
      <c r="A8" s="2" t="n">
        <v>7</v>
      </c>
      <c r="B8" s="2" t="inlineStr">
        <is>
          <t>Review Monthly_View.</t>
        </is>
      </c>
    </row>
    <row r="9">
      <c r="A9" s="2" t="n">
        <v>8</v>
      </c>
      <c r="B9" s="2" t="inlineStr">
        <is>
          <t>Attempt Dataset_Questions.</t>
        </is>
      </c>
    </row>
    <row r="10">
      <c r="A10" s="2" t="n">
        <v>9</v>
      </c>
      <c r="B10" s="2" t="inlineStr">
        <is>
          <t>Review Dataset_Dashboard.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2026-09-16T02:26:52Z</dcterms:created>
  <dcterms:modified xmlns:dcterms="http://purl.org/dc/terms/" xmlns:xsi="http://www.w3.org/2001/XMLSchema-instance" xsi:type="dcterms:W3CDTF">2026-09-16T02:26:52Z</dcterms:modified>
</cp:coreProperties>
</file>