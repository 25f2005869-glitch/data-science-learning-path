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VLOOKUP_Practice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Pivot_Product" sheetId="4" state="visible" r:id="rId4"/>
    <sheet xmlns:r="http://schemas.openxmlformats.org/officeDocument/2006/relationships" name="Pivot_Region" sheetId="5" state="visible" r:id="rId5"/>
    <sheet xmlns:r="http://schemas.openxmlformats.org/officeDocument/2006/relationships" name="Pivot_Channel" sheetId="6" state="visible" r:id="rId6"/>
    <sheet xmlns:r="http://schemas.openxmlformats.org/officeDocument/2006/relationships" name="Key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Instructions" sheetId="9" state="visible" r:id="rId9"/>
    <sheet xmlns:r="http://schemas.openxmlformats.org/officeDocument/2006/relationships" name="VLOOKUP_Pivot_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0" pivotButton="0" quotePrefix="0" xfId="0"/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'VLOOKUP_Pivot_Dashboard'!B7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'VLOOKUP_Pivot_Dashboard'!$A$8:$A$11</f>
            </numRef>
          </cat>
          <val>
            <numRef>
              <f>'VLOOKUP_Pivot_Dashboard'!$B$8:$B$11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'VLOOKUP_Pivot_Dashboard'!E7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'VLOOKUP_Pivot_Dashboard'!$D$8:$D$10</f>
            </numRef>
          </cat>
          <val>
            <numRef>
              <f>'VLOOKUP_Pivot_Dashboard'!$E$8:$E$10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'Pivot_Product'!B1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'Pivot_Product'!$A$2:$A$5</f>
            </numRef>
          </cat>
          <val>
            <numRef>
              <f>'Pivot_Product'!$B$2:$B$5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10" max="10"/>
    <col width="20" customWidth="1" min="11" max="11"/>
    <col width="20" customWidth="1" min="12" max="12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Units</t>
        </is>
      </c>
      <c r="G1" s="1" t="inlineStr">
        <is>
          <t>Unit_Price</t>
        </is>
      </c>
      <c r="H1" s="1" t="inlineStr">
        <is>
          <t>Revenue</t>
        </is>
      </c>
      <c r="J1" s="2" t="inlineStr">
        <is>
          <t>Lookup_Category</t>
        </is>
      </c>
      <c r="K1" s="2" t="inlineStr">
        <is>
          <t>Lookup_Price</t>
        </is>
      </c>
      <c r="L1" s="2" t="inlineStr">
        <is>
          <t>Lookup_Segment</t>
        </is>
      </c>
    </row>
    <row r="2">
      <c r="A2" s="3" t="n">
        <v>1001</v>
      </c>
      <c r="B2" s="3" t="inlineStr">
        <is>
          <t>Laptop</t>
        </is>
      </c>
      <c r="C2" s="4" t="inlineStr">
        <is>
          <t>Electronics</t>
        </is>
      </c>
      <c r="D2" s="3" t="inlineStr">
        <is>
          <t>North</t>
        </is>
      </c>
      <c r="E2" s="4" t="inlineStr">
        <is>
          <t>Online</t>
        </is>
      </c>
      <c r="F2" s="3" t="n">
        <v>12</v>
      </c>
      <c r="G2" s="3" t="n">
        <v>55000</v>
      </c>
      <c r="H2" s="3" t="n">
        <v>660000</v>
      </c>
      <c r="J2">
        <f>VLOOKUP(B2,Product_Master!$A$2:$D$5,2,FALSE)</f>
        <v/>
      </c>
      <c r="K2">
        <f>VLOOKUP(B2,Product_Master!$A$2:$D$5,3,FALSE)</f>
        <v/>
      </c>
      <c r="L2">
        <f>VLOOKUP(B2,Product_Master!$A$2:$D$5,4,FALSE)</f>
        <v/>
      </c>
    </row>
    <row r="3">
      <c r="A3" s="3" t="n">
        <v>1002</v>
      </c>
      <c r="B3" s="3" t="inlineStr">
        <is>
          <t>Smartphone</t>
        </is>
      </c>
      <c r="C3" s="4" t="inlineStr">
        <is>
          <t>Electronics</t>
        </is>
      </c>
      <c r="D3" s="3" t="inlineStr">
        <is>
          <t>South</t>
        </is>
      </c>
      <c r="E3" s="4" t="inlineStr">
        <is>
          <t>Retail</t>
        </is>
      </c>
      <c r="F3" s="3" t="n">
        <v>25</v>
      </c>
      <c r="G3" s="3" t="n">
        <v>22000</v>
      </c>
      <c r="H3" s="3" t="n">
        <v>550000</v>
      </c>
      <c r="J3">
        <f>VLOOKUP(B3,Product_Master!$A$2:$D$5,2,FALSE)</f>
        <v/>
      </c>
      <c r="K3">
        <f>VLOOKUP(B3,Product_Master!$A$2:$D$5,3,FALSE)</f>
        <v/>
      </c>
      <c r="L3">
        <f>VLOOKUP(B3,Product_Master!$A$2:$D$5,4,FALSE)</f>
        <v/>
      </c>
    </row>
    <row r="4">
      <c r="A4" s="3" t="n">
        <v>1003</v>
      </c>
      <c r="B4" s="3" t="inlineStr">
        <is>
          <t>Shoes</t>
        </is>
      </c>
      <c r="C4" s="4" t="inlineStr">
        <is>
          <t>Fashion</t>
        </is>
      </c>
      <c r="D4" s="3" t="inlineStr">
        <is>
          <t>West</t>
        </is>
      </c>
      <c r="E4" s="4" t="inlineStr">
        <is>
          <t>Online</t>
        </is>
      </c>
      <c r="F4" s="3" t="n">
        <v>40</v>
      </c>
      <c r="G4" s="3" t="n">
        <v>3500</v>
      </c>
      <c r="H4" s="3" t="n">
        <v>140000</v>
      </c>
      <c r="J4">
        <f>VLOOKUP(B4,Product_Master!$A$2:$D$5,2,FALSE)</f>
        <v/>
      </c>
      <c r="K4">
        <f>VLOOKUP(B4,Product_Master!$A$2:$D$5,3,FALSE)</f>
        <v/>
      </c>
      <c r="L4">
        <f>VLOOKUP(B4,Product_Master!$A$2:$D$5,4,FALSE)</f>
        <v/>
      </c>
    </row>
    <row r="5">
      <c r="A5" s="3" t="n">
        <v>1004</v>
      </c>
      <c r="B5" s="3" t="inlineStr">
        <is>
          <t>Laptop</t>
        </is>
      </c>
      <c r="C5" s="4" t="inlineStr">
        <is>
          <t>Electronics</t>
        </is>
      </c>
      <c r="D5" s="3" t="inlineStr">
        <is>
          <t>South</t>
        </is>
      </c>
      <c r="E5" s="4" t="inlineStr">
        <is>
          <t>Online</t>
        </is>
      </c>
      <c r="F5" s="3" t="n">
        <v>10</v>
      </c>
      <c r="G5" s="3" t="n">
        <v>55000</v>
      </c>
      <c r="H5" s="3" t="n">
        <v>550000</v>
      </c>
      <c r="J5">
        <f>VLOOKUP(B5,Product_Master!$A$2:$D$5,2,FALSE)</f>
        <v/>
      </c>
      <c r="K5">
        <f>VLOOKUP(B5,Product_Master!$A$2:$D$5,3,FALSE)</f>
        <v/>
      </c>
      <c r="L5">
        <f>VLOOKUP(B5,Product_Master!$A$2:$D$5,4,FALSE)</f>
        <v/>
      </c>
    </row>
    <row r="6">
      <c r="A6" s="3" t="n">
        <v>1005</v>
      </c>
      <c r="B6" s="3" t="inlineStr">
        <is>
          <t>Headphones</t>
        </is>
      </c>
      <c r="C6" s="4" t="inlineStr">
        <is>
          <t>Electronics</t>
        </is>
      </c>
      <c r="D6" s="3" t="inlineStr">
        <is>
          <t>North</t>
        </is>
      </c>
      <c r="E6" s="4" t="inlineStr">
        <is>
          <t>Retail</t>
        </is>
      </c>
      <c r="F6" s="3" t="n">
        <v>35</v>
      </c>
      <c r="G6" s="3" t="n">
        <v>2500</v>
      </c>
      <c r="H6" s="3" t="n">
        <v>87500</v>
      </c>
      <c r="J6">
        <f>VLOOKUP(B6,Product_Master!$A$2:$D$5,2,FALSE)</f>
        <v/>
      </c>
      <c r="K6">
        <f>VLOOKUP(B6,Product_Master!$A$2:$D$5,3,FALSE)</f>
        <v/>
      </c>
      <c r="L6">
        <f>VLOOKUP(B6,Product_Master!$A$2:$D$5,4,FALSE)</f>
        <v/>
      </c>
    </row>
    <row r="7">
      <c r="A7" s="3" t="n">
        <v>1006</v>
      </c>
      <c r="B7" s="3" t="inlineStr">
        <is>
          <t>Shoes</t>
        </is>
      </c>
      <c r="C7" s="4" t="inlineStr">
        <is>
          <t>Fashion</t>
        </is>
      </c>
      <c r="D7" s="3" t="inlineStr">
        <is>
          <t>North</t>
        </is>
      </c>
      <c r="E7" s="4" t="inlineStr">
        <is>
          <t>Retail</t>
        </is>
      </c>
      <c r="F7" s="3" t="n">
        <v>30</v>
      </c>
      <c r="G7" s="3" t="n">
        <v>3500</v>
      </c>
      <c r="H7" s="3" t="n">
        <v>105000</v>
      </c>
      <c r="J7">
        <f>VLOOKUP(B7,Product_Master!$A$2:$D$5,2,FALSE)</f>
        <v/>
      </c>
      <c r="K7">
        <f>VLOOKUP(B7,Product_Master!$A$2:$D$5,3,FALSE)</f>
        <v/>
      </c>
      <c r="L7">
        <f>VLOOKUP(B7,Product_Master!$A$2:$D$5,4,FALSE)</f>
        <v/>
      </c>
    </row>
    <row r="8">
      <c r="A8" s="3" t="n">
        <v>1007</v>
      </c>
      <c r="B8" s="3" t="inlineStr">
        <is>
          <t>Smartphone</t>
        </is>
      </c>
      <c r="C8" s="4" t="inlineStr">
        <is>
          <t>Electronics</t>
        </is>
      </c>
      <c r="D8" s="3" t="inlineStr">
        <is>
          <t>West</t>
        </is>
      </c>
      <c r="E8" s="4" t="inlineStr">
        <is>
          <t>Online</t>
        </is>
      </c>
      <c r="F8" s="3" t="n">
        <v>18</v>
      </c>
      <c r="G8" s="3" t="n">
        <v>22000</v>
      </c>
      <c r="H8" s="3" t="n">
        <v>396000</v>
      </c>
      <c r="J8">
        <f>VLOOKUP(B8,Product_Master!$A$2:$D$5,2,FALSE)</f>
        <v/>
      </c>
      <c r="K8">
        <f>VLOOKUP(B8,Product_Master!$A$2:$D$5,3,FALSE)</f>
        <v/>
      </c>
      <c r="L8">
        <f>VLOOKUP(B8,Product_Master!$A$2:$D$5,4,FALSE)</f>
        <v/>
      </c>
    </row>
    <row r="9">
      <c r="A9" s="3" t="n">
        <v>1008</v>
      </c>
      <c r="B9" s="3" t="inlineStr">
        <is>
          <t>Laptop</t>
        </is>
      </c>
      <c r="C9" s="4" t="inlineStr">
        <is>
          <t>Electronics</t>
        </is>
      </c>
      <c r="D9" s="3" t="inlineStr">
        <is>
          <t>West</t>
        </is>
      </c>
      <c r="E9" s="4" t="inlineStr">
        <is>
          <t>Retail</t>
        </is>
      </c>
      <c r="F9" s="3" t="n">
        <v>8</v>
      </c>
      <c r="G9" s="3" t="n">
        <v>55000</v>
      </c>
      <c r="H9" s="3" t="n">
        <v>440000</v>
      </c>
      <c r="J9">
        <f>VLOOKUP(B9,Product_Master!$A$2:$D$5,2,FALSE)</f>
        <v/>
      </c>
      <c r="K9">
        <f>VLOOKUP(B9,Product_Master!$A$2:$D$5,3,FALSE)</f>
        <v/>
      </c>
      <c r="L9">
        <f>VLOOKUP(B9,Product_Master!$A$2:$D$5,4,FALSE)</f>
        <v/>
      </c>
    </row>
    <row r="10">
      <c r="A10" s="3" t="n">
        <v>1009</v>
      </c>
      <c r="B10" s="3" t="inlineStr">
        <is>
          <t>Headphones</t>
        </is>
      </c>
      <c r="C10" s="4" t="inlineStr">
        <is>
          <t>Electronics</t>
        </is>
      </c>
      <c r="D10" s="3" t="inlineStr">
        <is>
          <t>South</t>
        </is>
      </c>
      <c r="E10" s="4" t="inlineStr">
        <is>
          <t>Online</t>
        </is>
      </c>
      <c r="F10" s="3" t="n">
        <v>45</v>
      </c>
      <c r="G10" s="3" t="n">
        <v>2500</v>
      </c>
      <c r="H10" s="3" t="n">
        <v>112500</v>
      </c>
      <c r="J10">
        <f>VLOOKUP(B10,Product_Master!$A$2:$D$5,2,FALSE)</f>
        <v/>
      </c>
      <c r="K10">
        <f>VLOOKUP(B10,Product_Master!$A$2:$D$5,3,FALSE)</f>
        <v/>
      </c>
      <c r="L10">
        <f>VLOOKUP(B10,Product_Master!$A$2:$D$5,4,FALSE)</f>
        <v/>
      </c>
    </row>
    <row r="11">
      <c r="A11" s="3" t="n">
        <v>1010</v>
      </c>
      <c r="B11" s="3" t="inlineStr">
        <is>
          <t>Shoes</t>
        </is>
      </c>
      <c r="C11" s="4" t="inlineStr">
        <is>
          <t>Fashion</t>
        </is>
      </c>
      <c r="D11" s="3" t="inlineStr">
        <is>
          <t>South</t>
        </is>
      </c>
      <c r="E11" s="4" t="inlineStr">
        <is>
          <t>Retail</t>
        </is>
      </c>
      <c r="F11" s="3" t="n">
        <v>28</v>
      </c>
      <c r="G11" s="3" t="n">
        <v>3500</v>
      </c>
      <c r="H11" s="3" t="n">
        <v>98000</v>
      </c>
      <c r="J11">
        <f>VLOOKUP(B11,Product_Master!$A$2:$D$5,2,FALSE)</f>
        <v/>
      </c>
      <c r="K11">
        <f>VLOOKUP(B11,Product_Master!$A$2:$D$5,3,FALSE)</f>
        <v/>
      </c>
      <c r="L11">
        <f>VLOOKUP(B11,Product_Master!$A$2:$D$5,4,FALSE)</f>
        <v/>
      </c>
    </row>
    <row r="12">
      <c r="A12" s="3" t="n">
        <v>1011</v>
      </c>
      <c r="B12" s="3" t="inlineStr">
        <is>
          <t>Smartphone</t>
        </is>
      </c>
      <c r="C12" s="4" t="inlineStr">
        <is>
          <t>Electronics</t>
        </is>
      </c>
      <c r="D12" s="3" t="inlineStr">
        <is>
          <t>North</t>
        </is>
      </c>
      <c r="E12" s="4" t="inlineStr">
        <is>
          <t>Retail</t>
        </is>
      </c>
      <c r="F12" s="3" t="n">
        <v>20</v>
      </c>
      <c r="G12" s="3" t="n">
        <v>22000</v>
      </c>
      <c r="H12" s="3" t="n">
        <v>440000</v>
      </c>
      <c r="J12">
        <f>VLOOKUP(B12,Product_Master!$A$2:$D$5,2,FALSE)</f>
        <v/>
      </c>
      <c r="K12">
        <f>VLOOKUP(B12,Product_Master!$A$2:$D$5,3,FALSE)</f>
        <v/>
      </c>
      <c r="L12">
        <f>VLOOKUP(B12,Product_Master!$A$2:$D$5,4,FALSE)</f>
        <v/>
      </c>
    </row>
    <row r="13">
      <c r="A13" s="3" t="n">
        <v>1012</v>
      </c>
      <c r="B13" s="3" t="inlineStr">
        <is>
          <t>Laptop</t>
        </is>
      </c>
      <c r="C13" s="4" t="inlineStr">
        <is>
          <t>Electronics</t>
        </is>
      </c>
      <c r="D13" s="3" t="inlineStr">
        <is>
          <t>North</t>
        </is>
      </c>
      <c r="E13" s="4" t="inlineStr">
        <is>
          <t>Online</t>
        </is>
      </c>
      <c r="F13" s="3" t="n">
        <v>15</v>
      </c>
      <c r="G13" s="3" t="n">
        <v>55000</v>
      </c>
      <c r="H13" s="3" t="n">
        <v>825000</v>
      </c>
      <c r="J13">
        <f>VLOOKUP(B13,Product_Master!$A$2:$D$5,2,FALSE)</f>
        <v/>
      </c>
      <c r="K13">
        <f>VLOOKUP(B13,Product_Master!$A$2:$D$5,3,FALSE)</f>
        <v/>
      </c>
      <c r="L13">
        <f>VLOOKUP(B13,Product_Master!$A$2:$D$5,4,FALSE)</f>
        <v/>
      </c>
    </row>
    <row r="14">
      <c r="A14" s="3" t="n">
        <v>1013</v>
      </c>
      <c r="B14" s="3" t="inlineStr">
        <is>
          <t>Shoes</t>
        </is>
      </c>
      <c r="C14" s="4" t="inlineStr">
        <is>
          <t>Fashion</t>
        </is>
      </c>
      <c r="D14" s="3" t="inlineStr">
        <is>
          <t>West</t>
        </is>
      </c>
      <c r="E14" s="4" t="inlineStr">
        <is>
          <t>Retail</t>
        </is>
      </c>
      <c r="F14" s="3" t="n">
        <v>36</v>
      </c>
      <c r="G14" s="3" t="n">
        <v>3500</v>
      </c>
      <c r="H14" s="3" t="n">
        <v>126000</v>
      </c>
      <c r="J14">
        <f>VLOOKUP(B14,Product_Master!$A$2:$D$5,2,FALSE)</f>
        <v/>
      </c>
      <c r="K14">
        <f>VLOOKUP(B14,Product_Master!$A$2:$D$5,3,FALSE)</f>
        <v/>
      </c>
      <c r="L14">
        <f>VLOOKUP(B14,Product_Master!$A$2:$D$5,4,FALSE)</f>
        <v/>
      </c>
    </row>
    <row r="15">
      <c r="A15" s="3" t="n">
        <v>1014</v>
      </c>
      <c r="B15" s="3" t="inlineStr">
        <is>
          <t>Headphones</t>
        </is>
      </c>
      <c r="C15" s="4" t="inlineStr">
        <is>
          <t>Electronics</t>
        </is>
      </c>
      <c r="D15" s="3" t="inlineStr">
        <is>
          <t>West</t>
        </is>
      </c>
      <c r="E15" s="4" t="inlineStr">
        <is>
          <t>Online</t>
        </is>
      </c>
      <c r="F15" s="3" t="n">
        <v>32</v>
      </c>
      <c r="G15" s="3" t="n">
        <v>2500</v>
      </c>
      <c r="H15" s="3" t="n">
        <v>80000</v>
      </c>
      <c r="J15">
        <f>VLOOKUP(B15,Product_Master!$A$2:$D$5,2,FALSE)</f>
        <v/>
      </c>
      <c r="K15">
        <f>VLOOKUP(B15,Product_Master!$A$2:$D$5,3,FALSE)</f>
        <v/>
      </c>
      <c r="L15">
        <f>VLOOKUP(B15,Product_Master!$A$2:$D$5,4,FALSE)</f>
        <v/>
      </c>
    </row>
    <row r="16">
      <c r="A16" s="3" t="n">
        <v>1015</v>
      </c>
      <c r="B16" s="3" t="inlineStr">
        <is>
          <t>Smartphone</t>
        </is>
      </c>
      <c r="C16" s="4" t="inlineStr">
        <is>
          <t>Electronics</t>
        </is>
      </c>
      <c r="D16" s="3" t="inlineStr">
        <is>
          <t>South</t>
        </is>
      </c>
      <c r="E16" s="4" t="inlineStr">
        <is>
          <t>Online</t>
        </is>
      </c>
      <c r="F16" s="3" t="n">
        <v>22</v>
      </c>
      <c r="G16" s="3" t="n">
        <v>22000</v>
      </c>
      <c r="H16" s="3" t="n">
        <v>484000</v>
      </c>
      <c r="J16">
        <f>VLOOKUP(B16,Product_Master!$A$2:$D$5,2,FALSE)</f>
        <v/>
      </c>
      <c r="K16">
        <f>VLOOKUP(B16,Product_Master!$A$2:$D$5,3,FALSE)</f>
        <v/>
      </c>
      <c r="L16">
        <f>VLOOKUP(B16,Product_Master!$A$2:$D$5,4,FALSE)</f>
        <v/>
      </c>
    </row>
    <row r="17">
      <c r="A17" s="3" t="n">
        <v>1016</v>
      </c>
      <c r="B17" s="3" t="inlineStr">
        <is>
          <t>Laptop</t>
        </is>
      </c>
      <c r="C17" s="4" t="inlineStr">
        <is>
          <t>Electronics</t>
        </is>
      </c>
      <c r="D17" s="3" t="inlineStr">
        <is>
          <t>South</t>
        </is>
      </c>
      <c r="E17" s="4" t="inlineStr">
        <is>
          <t>Retail</t>
        </is>
      </c>
      <c r="F17" s="3" t="n">
        <v>9</v>
      </c>
      <c r="G17" s="3" t="n">
        <v>55000</v>
      </c>
      <c r="H17" s="3" t="n">
        <v>495000</v>
      </c>
      <c r="J17">
        <f>VLOOKUP(B17,Product_Master!$A$2:$D$5,2,FALSE)</f>
        <v/>
      </c>
      <c r="K17">
        <f>VLOOKUP(B17,Product_Master!$A$2:$D$5,3,FALSE)</f>
        <v/>
      </c>
      <c r="L17">
        <f>VLOOKUP(B17,Product_Master!$A$2:$D$5,4,FALSE)</f>
        <v/>
      </c>
    </row>
    <row r="18">
      <c r="A18" s="3" t="n">
        <v>1017</v>
      </c>
      <c r="B18" s="3" t="inlineStr">
        <is>
          <t>Shoes</t>
        </is>
      </c>
      <c r="C18" s="4" t="inlineStr">
        <is>
          <t>Fashion</t>
        </is>
      </c>
      <c r="D18" s="3" t="inlineStr">
        <is>
          <t>North</t>
        </is>
      </c>
      <c r="E18" s="4" t="inlineStr">
        <is>
          <t>Online</t>
        </is>
      </c>
      <c r="F18" s="3" t="n">
        <v>44</v>
      </c>
      <c r="G18" s="3" t="n">
        <v>3500</v>
      </c>
      <c r="H18" s="3" t="n">
        <v>154000</v>
      </c>
      <c r="J18">
        <f>VLOOKUP(B18,Product_Master!$A$2:$D$5,2,FALSE)</f>
        <v/>
      </c>
      <c r="K18">
        <f>VLOOKUP(B18,Product_Master!$A$2:$D$5,3,FALSE)</f>
        <v/>
      </c>
      <c r="L18">
        <f>VLOOKUP(B18,Product_Master!$A$2:$D$5,4,FALSE)</f>
        <v/>
      </c>
    </row>
    <row r="19">
      <c r="A19" s="3" t="n">
        <v>1018</v>
      </c>
      <c r="B19" s="3" t="inlineStr">
        <is>
          <t>Headphones</t>
        </is>
      </c>
      <c r="C19" s="4" t="inlineStr">
        <is>
          <t>Electronics</t>
        </is>
      </c>
      <c r="D19" s="3" t="inlineStr">
        <is>
          <t>North</t>
        </is>
      </c>
      <c r="E19" s="4" t="inlineStr">
        <is>
          <t>Retail</t>
        </is>
      </c>
      <c r="F19" s="3" t="n">
        <v>38</v>
      </c>
      <c r="G19" s="3" t="n">
        <v>2500</v>
      </c>
      <c r="H19" s="3" t="n">
        <v>95000</v>
      </c>
      <c r="J19">
        <f>VLOOKUP(B19,Product_Master!$A$2:$D$5,2,FALSE)</f>
        <v/>
      </c>
      <c r="K19">
        <f>VLOOKUP(B19,Product_Master!$A$2:$D$5,3,FALSE)</f>
        <v/>
      </c>
      <c r="L19">
        <f>VLOOKUP(B19,Product_Master!$A$2:$D$5,4,FALSE)</f>
        <v/>
      </c>
    </row>
    <row r="20">
      <c r="A20" s="3" t="n">
        <v>1019</v>
      </c>
      <c r="B20" s="3" t="inlineStr">
        <is>
          <t>Smartphone</t>
        </is>
      </c>
      <c r="C20" s="4" t="inlineStr">
        <is>
          <t>Electronics</t>
        </is>
      </c>
      <c r="D20" s="3" t="inlineStr">
        <is>
          <t>West</t>
        </is>
      </c>
      <c r="E20" s="4" t="inlineStr">
        <is>
          <t>Retail</t>
        </is>
      </c>
      <c r="F20" s="3" t="n">
        <v>16</v>
      </c>
      <c r="G20" s="3" t="n">
        <v>22000</v>
      </c>
      <c r="H20" s="3" t="n">
        <v>352000</v>
      </c>
      <c r="J20">
        <f>VLOOKUP(B20,Product_Master!$A$2:$D$5,2,FALSE)</f>
        <v/>
      </c>
      <c r="K20">
        <f>VLOOKUP(B20,Product_Master!$A$2:$D$5,3,FALSE)</f>
        <v/>
      </c>
      <c r="L20">
        <f>VLOOKUP(B20,Product_Master!$A$2:$D$5,4,FALSE)</f>
        <v/>
      </c>
    </row>
    <row r="21">
      <c r="A21" s="3" t="n">
        <v>1020</v>
      </c>
      <c r="B21" s="3" t="inlineStr">
        <is>
          <t>Laptop</t>
        </is>
      </c>
      <c r="C21" s="4" t="inlineStr">
        <is>
          <t>Electronics</t>
        </is>
      </c>
      <c r="D21" s="3" t="inlineStr">
        <is>
          <t>West</t>
        </is>
      </c>
      <c r="E21" s="4" t="inlineStr">
        <is>
          <t>Online</t>
        </is>
      </c>
      <c r="F21" s="3" t="n">
        <v>11</v>
      </c>
      <c r="G21" s="3" t="n">
        <v>55000</v>
      </c>
      <c r="H21" s="3" t="n">
        <v>605000</v>
      </c>
      <c r="J21">
        <f>VLOOKUP(B21,Product_Master!$A$2:$D$5,2,FALSE)</f>
        <v/>
      </c>
      <c r="K21">
        <f>VLOOKUP(B21,Product_Master!$A$2:$D$5,3,FALSE)</f>
        <v/>
      </c>
      <c r="L21">
        <f>VLOOKUP(B21,Product_Master!$A$2:$D$5,4,FALSE)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Product_Category</t>
        </is>
      </c>
      <c r="E1" s="1" t="inlineStr">
        <is>
          <t>Unit_Price</t>
        </is>
      </c>
      <c r="F1" s="1" t="inlineStr">
        <is>
          <t>Value_Segment</t>
        </is>
      </c>
      <c r="G1" s="1" t="inlineStr">
        <is>
          <t>Revenue_Check</t>
        </is>
      </c>
    </row>
    <row r="2">
      <c r="A2" s="3" t="n">
        <v>1001</v>
      </c>
      <c r="B2" s="3" t="inlineStr">
        <is>
          <t>Laptop</t>
        </is>
      </c>
      <c r="C2" s="3" t="n">
        <v>12</v>
      </c>
      <c r="D2" s="3">
        <f>VLOOKUP(B2,Product_Master!$A$2:$D$5,2,FALSE)</f>
        <v/>
      </c>
      <c r="E2" s="4">
        <f>VLOOKUP(B2,Product_Master!$A$2:$D$5,3,FALSE)</f>
        <v/>
      </c>
      <c r="F2" s="3">
        <f>VLOOKUP(B2,Product_Master!$A$2:$D$5,4,FALSE)</f>
        <v/>
      </c>
      <c r="G2" s="4">
        <f>C2*E2</f>
        <v/>
      </c>
    </row>
    <row r="3">
      <c r="A3" s="3" t="n">
        <v>1002</v>
      </c>
      <c r="B3" s="3" t="inlineStr">
        <is>
          <t>Smartphone</t>
        </is>
      </c>
      <c r="C3" s="3" t="n">
        <v>25</v>
      </c>
      <c r="D3" s="3">
        <f>VLOOKUP(B3,Product_Master!$A$2:$D$5,2,FALSE)</f>
        <v/>
      </c>
      <c r="E3" s="4">
        <f>VLOOKUP(B3,Product_Master!$A$2:$D$5,3,FALSE)</f>
        <v/>
      </c>
      <c r="F3" s="3">
        <f>VLOOKUP(B3,Product_Master!$A$2:$D$5,4,FALSE)</f>
        <v/>
      </c>
      <c r="G3" s="4">
        <f>C3*E3</f>
        <v/>
      </c>
    </row>
    <row r="4">
      <c r="A4" s="3" t="n">
        <v>1003</v>
      </c>
      <c r="B4" s="3" t="inlineStr">
        <is>
          <t>Shoes</t>
        </is>
      </c>
      <c r="C4" s="3" t="n">
        <v>40</v>
      </c>
      <c r="D4" s="3">
        <f>VLOOKUP(B4,Product_Master!$A$2:$D$5,2,FALSE)</f>
        <v/>
      </c>
      <c r="E4" s="4">
        <f>VLOOKUP(B4,Product_Master!$A$2:$D$5,3,FALSE)</f>
        <v/>
      </c>
      <c r="F4" s="3">
        <f>VLOOKUP(B4,Product_Master!$A$2:$D$5,4,FALSE)</f>
        <v/>
      </c>
      <c r="G4" s="4">
        <f>C4*E4</f>
        <v/>
      </c>
    </row>
    <row r="5">
      <c r="A5" s="3" t="n">
        <v>1004</v>
      </c>
      <c r="B5" s="3" t="inlineStr">
        <is>
          <t>Laptop</t>
        </is>
      </c>
      <c r="C5" s="3" t="n">
        <v>10</v>
      </c>
      <c r="D5" s="3">
        <f>VLOOKUP(B5,Product_Master!$A$2:$D$5,2,FALSE)</f>
        <v/>
      </c>
      <c r="E5" s="4">
        <f>VLOOKUP(B5,Product_Master!$A$2:$D$5,3,FALSE)</f>
        <v/>
      </c>
      <c r="F5" s="3">
        <f>VLOOKUP(B5,Product_Master!$A$2:$D$5,4,FALSE)</f>
        <v/>
      </c>
      <c r="G5" s="4">
        <f>C5*E5</f>
        <v/>
      </c>
    </row>
    <row r="6">
      <c r="A6" s="3" t="n">
        <v>1005</v>
      </c>
      <c r="B6" s="3" t="inlineStr">
        <is>
          <t>Headphones</t>
        </is>
      </c>
      <c r="C6" s="3" t="n">
        <v>35</v>
      </c>
      <c r="D6" s="3">
        <f>VLOOKUP(B6,Product_Master!$A$2:$D$5,2,FALSE)</f>
        <v/>
      </c>
      <c r="E6" s="4">
        <f>VLOOKUP(B6,Product_Master!$A$2:$D$5,3,FALSE)</f>
        <v/>
      </c>
      <c r="F6" s="3">
        <f>VLOOKUP(B6,Product_Master!$A$2:$D$5,4,FALSE)</f>
        <v/>
      </c>
      <c r="G6" s="4">
        <f>C6*E6</f>
        <v/>
      </c>
    </row>
    <row r="7">
      <c r="A7" s="3" t="n">
        <v>1006</v>
      </c>
      <c r="B7" s="3" t="inlineStr">
        <is>
          <t>Shoes</t>
        </is>
      </c>
      <c r="C7" s="3" t="n">
        <v>30</v>
      </c>
      <c r="D7" s="3">
        <f>VLOOKUP(B7,Product_Master!$A$2:$D$5,2,FALSE)</f>
        <v/>
      </c>
      <c r="E7" s="4">
        <f>VLOOKUP(B7,Product_Master!$A$2:$D$5,3,FALSE)</f>
        <v/>
      </c>
      <c r="F7" s="3">
        <f>VLOOKUP(B7,Product_Master!$A$2:$D$5,4,FALSE)</f>
        <v/>
      </c>
      <c r="G7" s="4">
        <f>C7*E7</f>
        <v/>
      </c>
    </row>
    <row r="8">
      <c r="A8" s="3" t="n">
        <v>1007</v>
      </c>
      <c r="B8" s="3" t="inlineStr">
        <is>
          <t>Smartphone</t>
        </is>
      </c>
      <c r="C8" s="3" t="n">
        <v>18</v>
      </c>
      <c r="D8" s="3">
        <f>VLOOKUP(B8,Product_Master!$A$2:$D$5,2,FALSE)</f>
        <v/>
      </c>
      <c r="E8" s="4">
        <f>VLOOKUP(B8,Product_Master!$A$2:$D$5,3,FALSE)</f>
        <v/>
      </c>
      <c r="F8" s="3">
        <f>VLOOKUP(B8,Product_Master!$A$2:$D$5,4,FALSE)</f>
        <v/>
      </c>
      <c r="G8" s="4">
        <f>C8*E8</f>
        <v/>
      </c>
    </row>
    <row r="9">
      <c r="A9" s="3" t="n">
        <v>1008</v>
      </c>
      <c r="B9" s="3" t="inlineStr">
        <is>
          <t>Laptop</t>
        </is>
      </c>
      <c r="C9" s="3" t="n">
        <v>8</v>
      </c>
      <c r="D9" s="3">
        <f>VLOOKUP(B9,Product_Master!$A$2:$D$5,2,FALSE)</f>
        <v/>
      </c>
      <c r="E9" s="4">
        <f>VLOOKUP(B9,Product_Master!$A$2:$D$5,3,FALSE)</f>
        <v/>
      </c>
      <c r="F9" s="3">
        <f>VLOOKUP(B9,Product_Master!$A$2:$D$5,4,FALSE)</f>
        <v/>
      </c>
      <c r="G9" s="4">
        <f>C9*E9</f>
        <v/>
      </c>
    </row>
    <row r="10">
      <c r="A10" s="3" t="n">
        <v>1009</v>
      </c>
      <c r="B10" s="3" t="inlineStr">
        <is>
          <t>Headphones</t>
        </is>
      </c>
      <c r="C10" s="3" t="n">
        <v>45</v>
      </c>
      <c r="D10" s="3">
        <f>VLOOKUP(B10,Product_Master!$A$2:$D$5,2,FALSE)</f>
        <v/>
      </c>
      <c r="E10" s="4">
        <f>VLOOKUP(B10,Product_Master!$A$2:$D$5,3,FALSE)</f>
        <v/>
      </c>
      <c r="F10" s="3">
        <f>VLOOKUP(B10,Product_Master!$A$2:$D$5,4,FALSE)</f>
        <v/>
      </c>
      <c r="G10" s="4">
        <f>C10*E10</f>
        <v/>
      </c>
    </row>
    <row r="11">
      <c r="A11" s="3" t="n">
        <v>1010</v>
      </c>
      <c r="B11" s="3" t="inlineStr">
        <is>
          <t>Shoes</t>
        </is>
      </c>
      <c r="C11" s="3" t="n">
        <v>28</v>
      </c>
      <c r="D11" s="3">
        <f>VLOOKUP(B11,Product_Master!$A$2:$D$5,2,FALSE)</f>
        <v/>
      </c>
      <c r="E11" s="4">
        <f>VLOOKUP(B11,Product_Master!$A$2:$D$5,3,FALSE)</f>
        <v/>
      </c>
      <c r="F11" s="3">
        <f>VLOOKUP(B11,Product_Master!$A$2:$D$5,4,FALSE)</f>
        <v/>
      </c>
      <c r="G11" s="4">
        <f>C11*E11</f>
        <v/>
      </c>
    </row>
    <row r="12">
      <c r="A12" s="3" t="n">
        <v>1011</v>
      </c>
      <c r="B12" s="3" t="inlineStr">
        <is>
          <t>Smartphone</t>
        </is>
      </c>
      <c r="C12" s="3" t="n">
        <v>20</v>
      </c>
      <c r="D12" s="3">
        <f>VLOOKUP(B12,Product_Master!$A$2:$D$5,2,FALSE)</f>
        <v/>
      </c>
      <c r="E12" s="4">
        <f>VLOOKUP(B12,Product_Master!$A$2:$D$5,3,FALSE)</f>
        <v/>
      </c>
      <c r="F12" s="3">
        <f>VLOOKUP(B12,Product_Master!$A$2:$D$5,4,FALSE)</f>
        <v/>
      </c>
      <c r="G12" s="4">
        <f>C12*E12</f>
        <v/>
      </c>
    </row>
    <row r="13">
      <c r="A13" s="3" t="n">
        <v>1012</v>
      </c>
      <c r="B13" s="3" t="inlineStr">
        <is>
          <t>Laptop</t>
        </is>
      </c>
      <c r="C13" s="3" t="n">
        <v>15</v>
      </c>
      <c r="D13" s="3">
        <f>VLOOKUP(B13,Product_Master!$A$2:$D$5,2,FALSE)</f>
        <v/>
      </c>
      <c r="E13" s="4">
        <f>VLOOKUP(B13,Product_Master!$A$2:$D$5,3,FALSE)</f>
        <v/>
      </c>
      <c r="F13" s="3">
        <f>VLOOKUP(B13,Product_Master!$A$2:$D$5,4,FALSE)</f>
        <v/>
      </c>
      <c r="G13" s="4">
        <f>C13*E13</f>
        <v/>
      </c>
    </row>
    <row r="14">
      <c r="A14" s="3" t="n">
        <v>1013</v>
      </c>
      <c r="B14" s="3" t="inlineStr">
        <is>
          <t>Shoes</t>
        </is>
      </c>
      <c r="C14" s="3" t="n">
        <v>36</v>
      </c>
      <c r="D14" s="3">
        <f>VLOOKUP(B14,Product_Master!$A$2:$D$5,2,FALSE)</f>
        <v/>
      </c>
      <c r="E14" s="4">
        <f>VLOOKUP(B14,Product_Master!$A$2:$D$5,3,FALSE)</f>
        <v/>
      </c>
      <c r="F14" s="3">
        <f>VLOOKUP(B14,Product_Master!$A$2:$D$5,4,FALSE)</f>
        <v/>
      </c>
      <c r="G14" s="4">
        <f>C14*E14</f>
        <v/>
      </c>
    </row>
    <row r="15">
      <c r="A15" s="3" t="n">
        <v>1014</v>
      </c>
      <c r="B15" s="3" t="inlineStr">
        <is>
          <t>Headphones</t>
        </is>
      </c>
      <c r="C15" s="3" t="n">
        <v>32</v>
      </c>
      <c r="D15" s="3">
        <f>VLOOKUP(B15,Product_Master!$A$2:$D$5,2,FALSE)</f>
        <v/>
      </c>
      <c r="E15" s="4">
        <f>VLOOKUP(B15,Product_Master!$A$2:$D$5,3,FALSE)</f>
        <v/>
      </c>
      <c r="F15" s="3">
        <f>VLOOKUP(B15,Product_Master!$A$2:$D$5,4,FALSE)</f>
        <v/>
      </c>
      <c r="G15" s="4">
        <f>C15*E15</f>
        <v/>
      </c>
    </row>
    <row r="16">
      <c r="A16" s="3" t="n">
        <v>1015</v>
      </c>
      <c r="B16" s="3" t="inlineStr">
        <is>
          <t>Smartphone</t>
        </is>
      </c>
      <c r="C16" s="3" t="n">
        <v>22</v>
      </c>
      <c r="D16" s="3">
        <f>VLOOKUP(B16,Product_Master!$A$2:$D$5,2,FALSE)</f>
        <v/>
      </c>
      <c r="E16" s="4">
        <f>VLOOKUP(B16,Product_Master!$A$2:$D$5,3,FALSE)</f>
        <v/>
      </c>
      <c r="F16" s="3">
        <f>VLOOKUP(B16,Product_Master!$A$2:$D$5,4,FALSE)</f>
        <v/>
      </c>
      <c r="G16" s="4">
        <f>C16*E16</f>
        <v/>
      </c>
    </row>
    <row r="17">
      <c r="A17" s="3" t="n">
        <v>1016</v>
      </c>
      <c r="B17" s="3" t="inlineStr">
        <is>
          <t>Laptop</t>
        </is>
      </c>
      <c r="C17" s="3" t="n">
        <v>9</v>
      </c>
      <c r="D17" s="3">
        <f>VLOOKUP(B17,Product_Master!$A$2:$D$5,2,FALSE)</f>
        <v/>
      </c>
      <c r="E17" s="4">
        <f>VLOOKUP(B17,Product_Master!$A$2:$D$5,3,FALSE)</f>
        <v/>
      </c>
      <c r="F17" s="3">
        <f>VLOOKUP(B17,Product_Master!$A$2:$D$5,4,FALSE)</f>
        <v/>
      </c>
      <c r="G17" s="4">
        <f>C17*E17</f>
        <v/>
      </c>
    </row>
    <row r="18">
      <c r="A18" s="3" t="n">
        <v>1017</v>
      </c>
      <c r="B18" s="3" t="inlineStr">
        <is>
          <t>Shoes</t>
        </is>
      </c>
      <c r="C18" s="3" t="n">
        <v>44</v>
      </c>
      <c r="D18" s="3">
        <f>VLOOKUP(B18,Product_Master!$A$2:$D$5,2,FALSE)</f>
        <v/>
      </c>
      <c r="E18" s="4">
        <f>VLOOKUP(B18,Product_Master!$A$2:$D$5,3,FALSE)</f>
        <v/>
      </c>
      <c r="F18" s="3">
        <f>VLOOKUP(B18,Product_Master!$A$2:$D$5,4,FALSE)</f>
        <v/>
      </c>
      <c r="G18" s="4">
        <f>C18*E18</f>
        <v/>
      </c>
    </row>
    <row r="19">
      <c r="A19" s="3" t="n">
        <v>1018</v>
      </c>
      <c r="B19" s="3" t="inlineStr">
        <is>
          <t>Headphones</t>
        </is>
      </c>
      <c r="C19" s="3" t="n">
        <v>38</v>
      </c>
      <c r="D19" s="3">
        <f>VLOOKUP(B19,Product_Master!$A$2:$D$5,2,FALSE)</f>
        <v/>
      </c>
      <c r="E19" s="4">
        <f>VLOOKUP(B19,Product_Master!$A$2:$D$5,3,FALSE)</f>
        <v/>
      </c>
      <c r="F19" s="3">
        <f>VLOOKUP(B19,Product_Master!$A$2:$D$5,4,FALSE)</f>
        <v/>
      </c>
      <c r="G19" s="4">
        <f>C19*E19</f>
        <v/>
      </c>
    </row>
    <row r="20">
      <c r="A20" s="3" t="n">
        <v>1019</v>
      </c>
      <c r="B20" s="3" t="inlineStr">
        <is>
          <t>Smartphone</t>
        </is>
      </c>
      <c r="C20" s="3" t="n">
        <v>16</v>
      </c>
      <c r="D20" s="3">
        <f>VLOOKUP(B20,Product_Master!$A$2:$D$5,2,FALSE)</f>
        <v/>
      </c>
      <c r="E20" s="4">
        <f>VLOOKUP(B20,Product_Master!$A$2:$D$5,3,FALSE)</f>
        <v/>
      </c>
      <c r="F20" s="3">
        <f>VLOOKUP(B20,Product_Master!$A$2:$D$5,4,FALSE)</f>
        <v/>
      </c>
      <c r="G20" s="4">
        <f>C20*E20</f>
        <v/>
      </c>
    </row>
    <row r="21">
      <c r="A21" s="3" t="n">
        <v>1020</v>
      </c>
      <c r="B21" s="3" t="inlineStr">
        <is>
          <t>Laptop</t>
        </is>
      </c>
      <c r="C21" s="3" t="n">
        <v>11</v>
      </c>
      <c r="D21" s="3">
        <f>VLOOKUP(B21,Product_Master!$A$2:$D$5,2,FALSE)</f>
        <v/>
      </c>
      <c r="E21" s="4">
        <f>VLOOKUP(B21,Product_Master!$A$2:$D$5,3,FALSE)</f>
        <v/>
      </c>
      <c r="F21" s="3">
        <f>VLOOKUP(B21,Product_Master!$A$2:$D$5,4,FALSE)</f>
        <v/>
      </c>
      <c r="G21" s="4">
        <f>C21*E21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Unit_Price</t>
        </is>
      </c>
      <c r="D1" s="1" t="inlineStr">
        <is>
          <t>Value_Segment</t>
        </is>
      </c>
    </row>
    <row r="2">
      <c r="A2" s="3" t="inlineStr">
        <is>
          <t>Laptop</t>
        </is>
      </c>
      <c r="B2" s="3" t="inlineStr">
        <is>
          <t>Electronics</t>
        </is>
      </c>
      <c r="C2" s="3" t="n">
        <v>55000</v>
      </c>
      <c r="D2" s="3" t="inlineStr">
        <is>
          <t>High Value</t>
        </is>
      </c>
    </row>
    <row r="3">
      <c r="A3" s="3" t="inlineStr">
        <is>
          <t>Smartphone</t>
        </is>
      </c>
      <c r="B3" s="3" t="inlineStr">
        <is>
          <t>Electronics</t>
        </is>
      </c>
      <c r="C3" s="3" t="n">
        <v>22000</v>
      </c>
      <c r="D3" s="3" t="inlineStr">
        <is>
          <t>Medium Value</t>
        </is>
      </c>
    </row>
    <row r="4">
      <c r="A4" s="3" t="inlineStr">
        <is>
          <t>Shoes</t>
        </is>
      </c>
      <c r="B4" s="3" t="inlineStr">
        <is>
          <t>Fashion</t>
        </is>
      </c>
      <c r="C4" s="3" t="n">
        <v>3500</v>
      </c>
      <c r="D4" s="3" t="inlineStr">
        <is>
          <t>Fashion</t>
        </is>
      </c>
    </row>
    <row r="5">
      <c r="A5" s="3" t="inlineStr">
        <is>
          <t>Headphones</t>
        </is>
      </c>
      <c r="B5" s="3" t="inlineStr">
        <is>
          <t>Electronics</t>
        </is>
      </c>
      <c r="C5" s="3" t="n">
        <v>2500</v>
      </c>
      <c r="D5" s="3" t="inlineStr">
        <is>
          <t>Accessory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Product</t>
        </is>
      </c>
      <c r="B1" s="1" t="inlineStr">
        <is>
          <t>Total Units</t>
        </is>
      </c>
      <c r="C1" s="1" t="inlineStr">
        <is>
          <t>Total Revenue</t>
        </is>
      </c>
      <c r="D1" s="1" t="inlineStr">
        <is>
          <t>Average Unit Price</t>
        </is>
      </c>
    </row>
    <row r="2">
      <c r="A2" s="3" t="inlineStr">
        <is>
          <t>Laptop</t>
        </is>
      </c>
      <c r="B2" s="3">
        <f>SUMIF(Sales_Data!$B$2:$B$21,A2,Sales_Data!$F$2:$F$21)</f>
        <v/>
      </c>
      <c r="C2" s="4">
        <f>SUMIF(Sales_Data!$B$2:$B$21,A2,Sales_Data!$H$2:$H$21)</f>
        <v/>
      </c>
      <c r="D2" s="3">
        <f>AVERAGEIF(Sales_Data!$B$2:$B$21,A2,Sales_Data!$G$2:$G$21)</f>
        <v/>
      </c>
    </row>
    <row r="3">
      <c r="A3" s="3" t="inlineStr">
        <is>
          <t>Smartphone</t>
        </is>
      </c>
      <c r="B3" s="3">
        <f>SUMIF(Sales_Data!$B$2:$B$21,A3,Sales_Data!$F$2:$F$21)</f>
        <v/>
      </c>
      <c r="C3" s="4">
        <f>SUMIF(Sales_Data!$B$2:$B$21,A3,Sales_Data!$H$2:$H$21)</f>
        <v/>
      </c>
      <c r="D3" s="3">
        <f>AVERAGEIF(Sales_Data!$B$2:$B$21,A3,Sales_Data!$G$2:$G$21)</f>
        <v/>
      </c>
    </row>
    <row r="4">
      <c r="A4" s="3" t="inlineStr">
        <is>
          <t>Shoes</t>
        </is>
      </c>
      <c r="B4" s="3">
        <f>SUMIF(Sales_Data!$B$2:$B$21,A4,Sales_Data!$F$2:$F$21)</f>
        <v/>
      </c>
      <c r="C4" s="4">
        <f>SUMIF(Sales_Data!$B$2:$B$21,A4,Sales_Data!$H$2:$H$21)</f>
        <v/>
      </c>
      <c r="D4" s="3">
        <f>AVERAGEIF(Sales_Data!$B$2:$B$21,A4,Sales_Data!$G$2:$G$21)</f>
        <v/>
      </c>
    </row>
    <row r="5">
      <c r="A5" s="3" t="inlineStr">
        <is>
          <t>Headphones</t>
        </is>
      </c>
      <c r="B5" s="3">
        <f>SUMIF(Sales_Data!$B$2:$B$21,A5,Sales_Data!$F$2:$F$21)</f>
        <v/>
      </c>
      <c r="C5" s="4">
        <f>SUMIF(Sales_Data!$B$2:$B$21,A5,Sales_Data!$H$2:$H$21)</f>
        <v/>
      </c>
      <c r="D5" s="3">
        <f>AVERAGEIF(Sales_Data!$B$2:$B$21,A5,Sales_Data!$G$2:$G$21)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</cols>
  <sheetData>
    <row r="1">
      <c r="A1" s="1" t="inlineStr">
        <is>
          <t>Region</t>
        </is>
      </c>
      <c r="B1" s="1" t="inlineStr">
        <is>
          <t>Total Units</t>
        </is>
      </c>
      <c r="C1" s="1" t="inlineStr">
        <is>
          <t>Total Revenue</t>
        </is>
      </c>
    </row>
    <row r="2">
      <c r="A2" s="3" t="inlineStr">
        <is>
          <t>North</t>
        </is>
      </c>
      <c r="B2" s="3">
        <f>SUMIF(Sales_Data!$D$2:$D$21,A2,Sales_Data!$F$2:$F$21)</f>
        <v/>
      </c>
      <c r="C2" s="4">
        <f>SUMIF(Sales_Data!$D$2:$D$21,A2,Sales_Data!$H$2:$H$21)</f>
        <v/>
      </c>
    </row>
    <row r="3">
      <c r="A3" s="3" t="inlineStr">
        <is>
          <t>South</t>
        </is>
      </c>
      <c r="B3" s="3">
        <f>SUMIF(Sales_Data!$D$2:$D$21,A3,Sales_Data!$F$2:$F$21)</f>
        <v/>
      </c>
      <c r="C3" s="4">
        <f>SUMIF(Sales_Data!$D$2:$D$21,A3,Sales_Data!$H$2:$H$21)</f>
        <v/>
      </c>
    </row>
    <row r="4">
      <c r="A4" s="3" t="inlineStr">
        <is>
          <t>West</t>
        </is>
      </c>
      <c r="B4" s="3">
        <f>SUMIF(Sales_Data!$D$2:$D$21,A4,Sales_Data!$F$2:$F$21)</f>
        <v/>
      </c>
      <c r="C4" s="4">
        <f>SUMIF(Sales_Data!$D$2:$D$21,A4,Sales_Data!$H$2:$H$21)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</cols>
  <sheetData>
    <row r="1">
      <c r="A1" s="1" t="inlineStr">
        <is>
          <t>Channel</t>
        </is>
      </c>
      <c r="B1" s="1" t="inlineStr">
        <is>
          <t>Total Units</t>
        </is>
      </c>
      <c r="C1" s="1" t="inlineStr">
        <is>
          <t>Total Revenue</t>
        </is>
      </c>
    </row>
    <row r="2">
      <c r="A2" s="3" t="inlineStr">
        <is>
          <t>Online</t>
        </is>
      </c>
      <c r="B2" s="3">
        <f>SUMIF(Sales_Data!$E$2:$E$21,A2,Sales_Data!$F$2:$F$21)</f>
        <v/>
      </c>
      <c r="C2" s="4">
        <f>SUMIF(Sales_Data!$E$2:$E$21,A2,Sales_Data!$H$2:$H$21)</f>
        <v/>
      </c>
    </row>
    <row r="3">
      <c r="A3" s="3" t="inlineStr">
        <is>
          <t>Retail</t>
        </is>
      </c>
      <c r="B3" s="3">
        <f>SUMIF(Sales_Data!$E$2:$E$21,A3,Sales_Data!$F$2:$F$21)</f>
        <v/>
      </c>
      <c r="C3" s="4">
        <f>SUMIF(Sales_Data!$E$2:$E$21,A3,Sales_Data!$H$2:$H$21)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Question</t>
        </is>
      </c>
      <c r="B1" s="1" t="inlineStr">
        <is>
          <t>Expected Analysis</t>
        </is>
      </c>
    </row>
    <row r="2">
      <c r="A2" s="3" t="inlineStr">
        <is>
          <t>Which product generates the highest revenue?</t>
        </is>
      </c>
      <c r="B2" s="3" t="inlineStr">
        <is>
          <t>Product revenue summary</t>
        </is>
      </c>
    </row>
    <row r="3">
      <c r="A3" s="3" t="inlineStr">
        <is>
          <t>Which region has the highest revenue?</t>
        </is>
      </c>
      <c r="B3" s="3" t="inlineStr">
        <is>
          <t>Regional summary</t>
        </is>
      </c>
    </row>
    <row r="4">
      <c r="A4" s="3" t="inlineStr">
        <is>
          <t>Which channel has the highest revenue?</t>
        </is>
      </c>
      <c r="B4" s="3" t="inlineStr">
        <is>
          <t>Channel summary</t>
        </is>
      </c>
    </row>
    <row r="5">
      <c r="A5" s="3" t="inlineStr">
        <is>
          <t>How can VLOOKUP enrich a sales table?</t>
        </is>
      </c>
      <c r="B5" s="3" t="inlineStr">
        <is>
          <t>Retrieve category, price and segment</t>
        </is>
      </c>
    </row>
    <row r="6">
      <c r="A6" s="3" t="inlineStr">
        <is>
          <t>Why use Pivot Tables?</t>
        </is>
      </c>
      <c r="B6" s="3" t="inlineStr">
        <is>
          <t>Fast grouped summaries and business reporting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Insight Area</t>
        </is>
      </c>
      <c r="B1" s="1" t="inlineStr">
        <is>
          <t>Observation</t>
        </is>
      </c>
    </row>
    <row r="2">
      <c r="A2" s="3" t="inlineStr">
        <is>
          <t>Product</t>
        </is>
      </c>
      <c r="B2" s="3" t="inlineStr">
        <is>
          <t>Laptop contributes the largest revenue in the sample.</t>
        </is>
      </c>
    </row>
    <row r="3">
      <c r="A3" s="3" t="inlineStr">
        <is>
          <t>Region</t>
        </is>
      </c>
      <c r="B3" s="3" t="inlineStr">
        <is>
          <t>North, South and West can be compared using the regional summary.</t>
        </is>
      </c>
    </row>
    <row r="4">
      <c r="A4" s="3" t="inlineStr">
        <is>
          <t>Channel</t>
        </is>
      </c>
      <c r="B4" s="3" t="inlineStr">
        <is>
          <t>Online and Retail performance can be compared through the channel summary.</t>
        </is>
      </c>
    </row>
    <row r="5">
      <c r="A5" s="3" t="inlineStr">
        <is>
          <t>VLOOKUP</t>
        </is>
      </c>
      <c r="B5" s="3" t="inlineStr">
        <is>
          <t>Product attributes are retrieved from Product_Master using Product as the lookup key.</t>
        </is>
      </c>
    </row>
    <row r="6">
      <c r="A6" s="3" t="inlineStr">
        <is>
          <t>Pivot-style summary</t>
        </is>
      </c>
      <c r="B6" s="3" t="inlineStr">
        <is>
          <t>SUMIF/AVERAGEIF summaries reproduce the core grouping logic used in Pivot Tables.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Task</t>
        </is>
      </c>
    </row>
    <row r="2">
      <c r="A2" s="3" t="inlineStr">
        <is>
          <t>1</t>
        </is>
      </c>
      <c r="B2" s="3" t="inlineStr">
        <is>
          <t>Review Sales_Data and identify the lookup key: Product.</t>
        </is>
      </c>
    </row>
    <row r="3">
      <c r="A3" s="3" t="inlineStr">
        <is>
          <t>2</t>
        </is>
      </c>
      <c r="B3" s="3" t="inlineStr">
        <is>
          <t>Open Product_Master and understand the lookup table.</t>
        </is>
      </c>
    </row>
    <row r="4">
      <c r="A4" s="3" t="inlineStr">
        <is>
          <t>3</t>
        </is>
      </c>
      <c r="B4" s="3" t="inlineStr">
        <is>
          <t>Review VLOOKUP_Practice and inspect the VLOOKUP formulas.</t>
        </is>
      </c>
    </row>
    <row r="5">
      <c r="A5" s="3" t="inlineStr">
        <is>
          <t>4</t>
        </is>
      </c>
      <c r="B5" s="3" t="inlineStr">
        <is>
          <t>Compare Product, Region and Channel summaries.</t>
        </is>
      </c>
    </row>
    <row r="6">
      <c r="A6" s="3" t="inlineStr">
        <is>
          <t>5</t>
        </is>
      </c>
      <c r="B6" s="3" t="inlineStr">
        <is>
          <t>Use the dashboard charts to communicate the findings.</t>
        </is>
      </c>
    </row>
    <row r="7">
      <c r="A7" s="3" t="inlineStr">
        <is>
          <t>6</t>
        </is>
      </c>
      <c r="B7" s="3" t="inlineStr">
        <is>
          <t>Change a product in VLOOKUP_Practice and observe the retrieved fields.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VLOOKUP &amp; PIVOT TABLE — BUSINESS DASHBOARD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Day 036 | Excel data retrieval and summary tools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5" t="inlineStr">
        <is>
          <t>Total Revenue</t>
        </is>
      </c>
      <c r="B4" s="3">
        <f>SUM(Sales_Data!H2:H21)</f>
        <v/>
      </c>
      <c r="C4" s="3" t="n"/>
      <c r="D4" s="5" t="inlineStr">
        <is>
          <t>Total Units</t>
        </is>
      </c>
      <c r="E4" s="4">
        <f>SUM(Sales_Data!F2:F21)</f>
        <v/>
      </c>
      <c r="F4" s="3" t="n"/>
      <c r="G4" s="5" t="inlineStr">
        <is>
          <t>Orders</t>
        </is>
      </c>
      <c r="H4" s="4">
        <f>COUNTA(Sales_Data!A2:A21)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6" t="inlineStr">
        <is>
          <t>Product</t>
        </is>
      </c>
      <c r="B7" s="6" t="inlineStr">
        <is>
          <t>Revenue</t>
        </is>
      </c>
      <c r="C7" s="3" t="n"/>
      <c r="D7" s="6" t="inlineStr">
        <is>
          <t>Region</t>
        </is>
      </c>
      <c r="E7" s="7" t="inlineStr">
        <is>
          <t>Revenue</t>
        </is>
      </c>
      <c r="F7" s="3" t="n"/>
      <c r="G7" s="3" t="n"/>
      <c r="H7" s="3" t="n"/>
    </row>
    <row r="8">
      <c r="A8" s="3" t="inlineStr">
        <is>
          <t>Laptop</t>
        </is>
      </c>
      <c r="B8" s="3">
        <f>SUMIF(Sales_Data!$B$2:$B$21,A8,Sales_Data!$H$2:$H$21)</f>
        <v/>
      </c>
      <c r="C8" s="3" t="n"/>
      <c r="D8" s="3" t="inlineStr">
        <is>
          <t>North</t>
        </is>
      </c>
      <c r="E8" s="4">
        <f>SUMIF(Sales_Data!$D$2:$D$21,D8,Sales_Data!$H$2:$H$21)</f>
        <v/>
      </c>
      <c r="F8" s="3" t="n"/>
      <c r="G8" s="3" t="n"/>
      <c r="H8" s="3" t="n"/>
    </row>
    <row r="9">
      <c r="A9" s="3" t="inlineStr">
        <is>
          <t>Smartphone</t>
        </is>
      </c>
      <c r="B9" s="3">
        <f>SUMIF(Sales_Data!$B$2:$B$21,A9,Sales_Data!$H$2:$H$21)</f>
        <v/>
      </c>
      <c r="C9" s="3" t="n"/>
      <c r="D9" s="3" t="inlineStr">
        <is>
          <t>South</t>
        </is>
      </c>
      <c r="E9" s="4">
        <f>SUMIF(Sales_Data!$D$2:$D$21,D9,Sales_Data!$H$2:$H$21)</f>
        <v/>
      </c>
      <c r="F9" s="3" t="n"/>
      <c r="G9" s="3" t="n"/>
      <c r="H9" s="3" t="n"/>
    </row>
    <row r="10">
      <c r="A10" s="3" t="inlineStr">
        <is>
          <t>Shoes</t>
        </is>
      </c>
      <c r="B10" s="3">
        <f>SUMIF(Sales_Data!$B$2:$B$21,A10,Sales_Data!$H$2:$H$21)</f>
        <v/>
      </c>
      <c r="C10" s="3" t="n"/>
      <c r="D10" s="3" t="inlineStr">
        <is>
          <t>West</t>
        </is>
      </c>
      <c r="E10" s="4">
        <f>SUMIF(Sales_Data!$D$2:$D$21,D10,Sales_Data!$H$2:$H$21)</f>
        <v/>
      </c>
      <c r="F10" s="3" t="n"/>
      <c r="G10" s="3" t="n"/>
      <c r="H10" s="3" t="n"/>
    </row>
    <row r="11">
      <c r="A11" s="3" t="inlineStr">
        <is>
          <t>Headphones</t>
        </is>
      </c>
      <c r="B11" s="3">
        <f>SUMIF(Sales_Data!$B$2:$B$21,A11,Sales_Data!$H$2:$H$21)</f>
        <v/>
      </c>
      <c r="C11" s="3" t="n"/>
      <c r="D11" s="3" t="n"/>
      <c r="E11" s="3" t="n"/>
      <c r="F11" s="3" t="n"/>
      <c r="G11" s="3" t="n"/>
      <c r="H11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2026-09-16T01:42:19Z</dcterms:created>
  <dcterms:modified xmlns:dcterms="http://purl.org/dc/terms/" xmlns:xsi="http://www.w3.org/2001/XMLSchema-instance" xsi:type="dcterms:W3CDTF">2026-09-16T01:42:19Z</dcterms:modified>
</cp:coreProperties>
</file>