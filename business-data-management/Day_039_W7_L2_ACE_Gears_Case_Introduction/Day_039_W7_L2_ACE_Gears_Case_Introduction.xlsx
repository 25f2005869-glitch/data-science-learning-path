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E_Gears_Data" sheetId="1" state="visible" r:id="rId1"/>
    <sheet xmlns:r="http://schemas.openxmlformats.org/officeDocument/2006/relationships" name="Case_Context" sheetId="2" state="visible" r:id="rId2"/>
    <sheet xmlns:r="http://schemas.openxmlformats.org/officeDocument/2006/relationships" name="Product_Summary" sheetId="3" state="visible" r:id="rId3"/>
    <sheet xmlns:r="http://schemas.openxmlformats.org/officeDocument/2006/relationships" name="Region_Summary" sheetId="4" state="visible" r:id="rId4"/>
    <sheet xmlns:r="http://schemas.openxmlformats.org/officeDocument/2006/relationships" name="Customer_Summary" sheetId="5" state="visible" r:id="rId5"/>
    <sheet xmlns:r="http://schemas.openxmlformats.org/officeDocument/2006/relationships" name="Case_Questions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Business_Insights" sheetId="8" state="visible" r:id="rId8"/>
    <sheet xmlns:r="http://schemas.openxmlformats.org/officeDocument/2006/relationships" name="Instructions" sheetId="9" state="visible" r:id="rId9"/>
    <sheet xmlns:r="http://schemas.openxmlformats.org/officeDocument/2006/relationships" name="ACE_Gears_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ACE Gears 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'ACE_Gears_Dashboard'!B7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'ACE_Gears_Dashboard'!$A$8:$A$10</f>
            </numRef>
          </cat>
          <val>
            <numRef>
              <f>'ACE_Gears_Dashboard'!$B$8:$B$10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ACE Gears 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'ACE_Gears_Dashboard'!D7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'ACE_Gears_Dashboard'!$C$8:$C$10</f>
            </numRef>
          </cat>
          <val>
            <numRef>
              <f>'ACE_Gears_Dashboard'!$D$8:$D$10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Production vs 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'Product_Summary'!B1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'Product_Summary'!$A$2:$A$4</f>
            </numRef>
          </cat>
          <val>
            <numRef>
              <f>'Product_Summary'!$B$2:$B$4</f>
            </numRef>
          </val>
        </ser>
        <ser>
          <idx val="1"/>
          <order val="1"/>
          <tx>
            <strRef>
              <f>'Product_Summary'!C1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'Product_Summary'!$A$2:$A$4</f>
            </numRef>
          </cat>
          <val>
            <numRef>
              <f>'Product_Summary'!$C$2:$C$4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12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8" customWidth="1" min="5" max="5"/>
    <col width="13" customWidth="1" min="6" max="6"/>
    <col width="13" customWidth="1" min="7" max="7"/>
    <col width="12" customWidth="1" min="8" max="8"/>
    <col width="17" customWidth="1" min="9" max="9"/>
  </cols>
  <sheetData>
    <row r="1">
      <c r="A1" s="1" t="inlineStr">
        <is>
          <t>Record_ID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Customer_Type</t>
        </is>
      </c>
      <c r="E1" s="1" t="inlineStr">
        <is>
          <t>Production_Units</t>
        </is>
      </c>
      <c r="F1" s="1" t="inlineStr">
        <is>
          <t>Sales_Units</t>
        </is>
      </c>
      <c r="G1" s="1" t="inlineStr">
        <is>
          <t>Scrap_Units</t>
        </is>
      </c>
      <c r="H1" s="1" t="inlineStr">
        <is>
          <t>Revenue</t>
        </is>
      </c>
      <c r="I1" s="1" t="inlineStr">
        <is>
          <t>Production_Cost</t>
        </is>
      </c>
    </row>
    <row r="2">
      <c r="A2" s="2" t="n">
        <v>1</v>
      </c>
      <c r="B2" s="2" t="inlineStr">
        <is>
          <t>Gears</t>
        </is>
      </c>
      <c r="C2" s="2" t="inlineStr">
        <is>
          <t>North</t>
        </is>
      </c>
      <c r="D2" s="2" t="inlineStr">
        <is>
          <t>OEM</t>
        </is>
      </c>
      <c r="E2" s="2" t="n">
        <v>1200</v>
      </c>
      <c r="F2" s="2" t="n">
        <v>950</v>
      </c>
      <c r="G2" s="2" t="n">
        <v>180</v>
      </c>
      <c r="H2" s="2" t="n">
        <v>72000</v>
      </c>
      <c r="I2" s="2" t="n">
        <v>68400</v>
      </c>
    </row>
    <row r="3">
      <c r="A3" s="2" t="n">
        <v>2</v>
      </c>
      <c r="B3" s="2" t="inlineStr">
        <is>
          <t>Gears</t>
        </is>
      </c>
      <c r="C3" s="2" t="inlineStr">
        <is>
          <t>South</t>
        </is>
      </c>
      <c r="D3" s="2" t="inlineStr">
        <is>
          <t>OEM</t>
        </is>
      </c>
      <c r="E3" s="2" t="n">
        <v>1350</v>
      </c>
      <c r="F3" s="2" t="n">
        <v>1100</v>
      </c>
      <c r="G3" s="2" t="n">
        <v>210</v>
      </c>
      <c r="H3" s="2" t="n">
        <v>81000</v>
      </c>
      <c r="I3" s="2" t="n">
        <v>77000</v>
      </c>
    </row>
    <row r="4">
      <c r="A4" s="2" t="n">
        <v>3</v>
      </c>
      <c r="B4" s="2" t="inlineStr">
        <is>
          <t>Gears</t>
        </is>
      </c>
      <c r="C4" s="2" t="inlineStr">
        <is>
          <t>West</t>
        </is>
      </c>
      <c r="D4" s="2" t="inlineStr">
        <is>
          <t>Distributor</t>
        </is>
      </c>
      <c r="E4" s="2" t="n">
        <v>980</v>
      </c>
      <c r="F4" s="2" t="n">
        <v>820</v>
      </c>
      <c r="G4" s="2" t="n">
        <v>145</v>
      </c>
      <c r="H4" s="2" t="n">
        <v>58800</v>
      </c>
      <c r="I4" s="2" t="n">
        <v>50840</v>
      </c>
    </row>
    <row r="5">
      <c r="A5" s="2" t="n">
        <v>4</v>
      </c>
      <c r="B5" s="2" t="inlineStr">
        <is>
          <t>Shafts</t>
        </is>
      </c>
      <c r="C5" s="2" t="inlineStr">
        <is>
          <t>North</t>
        </is>
      </c>
      <c r="D5" s="2" t="inlineStr">
        <is>
          <t>OEM</t>
        </is>
      </c>
      <c r="E5" s="2" t="n">
        <v>900</v>
      </c>
      <c r="F5" s="2" t="n">
        <v>760</v>
      </c>
      <c r="G5" s="2" t="n">
        <v>130</v>
      </c>
      <c r="H5" s="2" t="n">
        <v>54000</v>
      </c>
      <c r="I5" s="2" t="n">
        <v>57760</v>
      </c>
    </row>
    <row r="6">
      <c r="A6" s="2" t="n">
        <v>5</v>
      </c>
      <c r="B6" s="2" t="inlineStr">
        <is>
          <t>Shafts</t>
        </is>
      </c>
      <c r="C6" s="2" t="inlineStr">
        <is>
          <t>South</t>
        </is>
      </c>
      <c r="D6" s="2" t="inlineStr">
        <is>
          <t>Distributor</t>
        </is>
      </c>
      <c r="E6" s="2" t="n">
        <v>1050</v>
      </c>
      <c r="F6" s="2" t="n">
        <v>880</v>
      </c>
      <c r="G6" s="2" t="n">
        <v>160</v>
      </c>
      <c r="H6" s="2" t="n">
        <v>63000</v>
      </c>
      <c r="I6" s="2" t="n">
        <v>56320</v>
      </c>
    </row>
    <row r="7">
      <c r="A7" s="2" t="n">
        <v>6</v>
      </c>
      <c r="B7" s="2" t="inlineStr">
        <is>
          <t>Shafts</t>
        </is>
      </c>
      <c r="C7" s="2" t="inlineStr">
        <is>
          <t>West</t>
        </is>
      </c>
      <c r="D7" s="2" t="inlineStr">
        <is>
          <t>OEM</t>
        </is>
      </c>
      <c r="E7" s="2" t="n">
        <v>1120</v>
      </c>
      <c r="F7" s="2" t="n">
        <v>940</v>
      </c>
      <c r="G7" s="2" t="n">
        <v>175</v>
      </c>
      <c r="H7" s="2" t="n">
        <v>67200</v>
      </c>
      <c r="I7" s="2" t="n">
        <v>65800</v>
      </c>
    </row>
    <row r="8">
      <c r="A8" s="2" t="n">
        <v>7</v>
      </c>
      <c r="B8" s="2" t="inlineStr">
        <is>
          <t>Bearings</t>
        </is>
      </c>
      <c r="C8" s="2" t="inlineStr">
        <is>
          <t>North</t>
        </is>
      </c>
      <c r="D8" s="2" t="inlineStr">
        <is>
          <t>Distributor</t>
        </is>
      </c>
      <c r="E8" s="2" t="n">
        <v>1500</v>
      </c>
      <c r="F8" s="2" t="n">
        <v>1260</v>
      </c>
      <c r="G8" s="2" t="n">
        <v>220</v>
      </c>
      <c r="H8" s="2" t="n">
        <v>75000</v>
      </c>
      <c r="I8" s="2" t="n">
        <v>65520</v>
      </c>
    </row>
    <row r="9">
      <c r="A9" s="2" t="n">
        <v>8</v>
      </c>
      <c r="B9" s="2" t="inlineStr">
        <is>
          <t>Bearings</t>
        </is>
      </c>
      <c r="C9" s="2" t="inlineStr">
        <is>
          <t>South</t>
        </is>
      </c>
      <c r="D9" s="2" t="inlineStr">
        <is>
          <t>OEM</t>
        </is>
      </c>
      <c r="E9" s="2" t="n">
        <v>1650</v>
      </c>
      <c r="F9" s="2" t="n">
        <v>1400</v>
      </c>
      <c r="G9" s="2" t="n">
        <v>250</v>
      </c>
      <c r="H9" s="2" t="n">
        <v>82500</v>
      </c>
      <c r="I9" s="2" t="n">
        <v>80500</v>
      </c>
    </row>
    <row r="10">
      <c r="A10" s="2" t="n">
        <v>9</v>
      </c>
      <c r="B10" s="2" t="inlineStr">
        <is>
          <t>Bearings</t>
        </is>
      </c>
      <c r="C10" s="2" t="inlineStr">
        <is>
          <t>West</t>
        </is>
      </c>
      <c r="D10" s="2" t="inlineStr">
        <is>
          <t>Distributor</t>
        </is>
      </c>
      <c r="E10" s="2" t="n">
        <v>1380</v>
      </c>
      <c r="F10" s="2" t="n">
        <v>1160</v>
      </c>
      <c r="G10" s="2" t="n">
        <v>205</v>
      </c>
      <c r="H10" s="2" t="n">
        <v>69000</v>
      </c>
      <c r="I10" s="2" t="n">
        <v>59890</v>
      </c>
    </row>
    <row r="11">
      <c r="A11" s="2" t="n">
        <v>10</v>
      </c>
      <c r="B11" s="2" t="inlineStr">
        <is>
          <t>Gears</t>
        </is>
      </c>
      <c r="C11" s="2" t="inlineStr">
        <is>
          <t>North</t>
        </is>
      </c>
      <c r="D11" s="2" t="inlineStr">
        <is>
          <t>Distributor</t>
        </is>
      </c>
      <c r="E11" s="2" t="n">
        <v>1280</v>
      </c>
      <c r="F11" s="2" t="n">
        <v>1040</v>
      </c>
      <c r="G11" s="2" t="n">
        <v>195</v>
      </c>
      <c r="H11" s="2" t="n">
        <v>76800</v>
      </c>
      <c r="I11" s="2" t="n">
        <v>71760</v>
      </c>
    </row>
    <row r="12">
      <c r="A12" s="2" t="n">
        <v>11</v>
      </c>
      <c r="B12" s="2" t="inlineStr">
        <is>
          <t>Gears</t>
        </is>
      </c>
      <c r="C12" s="2" t="inlineStr">
        <is>
          <t>South</t>
        </is>
      </c>
      <c r="D12" s="2" t="inlineStr">
        <is>
          <t>OEM</t>
        </is>
      </c>
      <c r="E12" s="2" t="n">
        <v>1420</v>
      </c>
      <c r="F12" s="2" t="n">
        <v>1180</v>
      </c>
      <c r="G12" s="2" t="n">
        <v>225</v>
      </c>
      <c r="H12" s="2" t="n">
        <v>85200</v>
      </c>
      <c r="I12" s="2" t="n">
        <v>82600</v>
      </c>
    </row>
    <row r="13">
      <c r="A13" s="2" t="n">
        <v>12</v>
      </c>
      <c r="B13" s="2" t="inlineStr">
        <is>
          <t>Gears</t>
        </is>
      </c>
      <c r="C13" s="2" t="inlineStr">
        <is>
          <t>West</t>
        </is>
      </c>
      <c r="D13" s="2" t="inlineStr">
        <is>
          <t>OEM</t>
        </is>
      </c>
      <c r="E13" s="2" t="n">
        <v>1100</v>
      </c>
      <c r="F13" s="2" t="n">
        <v>920</v>
      </c>
      <c r="G13" s="2" t="n">
        <v>165</v>
      </c>
      <c r="H13" s="2" t="n">
        <v>66000</v>
      </c>
      <c r="I13" s="2" t="n">
        <v>60720</v>
      </c>
    </row>
    <row r="14">
      <c r="A14" s="2" t="n">
        <v>13</v>
      </c>
      <c r="B14" s="2" t="inlineStr">
        <is>
          <t>Shafts</t>
        </is>
      </c>
      <c r="C14" s="2" t="inlineStr">
        <is>
          <t>North</t>
        </is>
      </c>
      <c r="D14" s="2" t="inlineStr">
        <is>
          <t>Distributor</t>
        </is>
      </c>
      <c r="E14" s="2" t="n">
        <v>970</v>
      </c>
      <c r="F14" s="2" t="n">
        <v>810</v>
      </c>
      <c r="G14" s="2" t="n">
        <v>150</v>
      </c>
      <c r="H14" s="2" t="n">
        <v>58200</v>
      </c>
      <c r="I14" s="2" t="n">
        <v>53550</v>
      </c>
    </row>
    <row r="15">
      <c r="A15" s="2" t="n">
        <v>14</v>
      </c>
      <c r="B15" s="2" t="inlineStr">
        <is>
          <t>Shafts</t>
        </is>
      </c>
      <c r="C15" s="2" t="inlineStr">
        <is>
          <t>South</t>
        </is>
      </c>
      <c r="D15" s="2" t="inlineStr">
        <is>
          <t>OEM</t>
        </is>
      </c>
      <c r="E15" s="2" t="n">
        <v>1240</v>
      </c>
      <c r="F15" s="2" t="n">
        <v>1010</v>
      </c>
      <c r="G15" s="2" t="n">
        <v>185</v>
      </c>
      <c r="H15" s="2" t="n">
        <v>74400</v>
      </c>
      <c r="I15" s="2" t="n">
        <v>68350</v>
      </c>
    </row>
    <row r="16">
      <c r="A16" s="2" t="n">
        <v>15</v>
      </c>
      <c r="B16" s="2" t="inlineStr">
        <is>
          <t>Shafts</t>
        </is>
      </c>
      <c r="C16" s="2" t="inlineStr">
        <is>
          <t>West</t>
        </is>
      </c>
      <c r="D16" s="2" t="inlineStr">
        <is>
          <t>Distributor</t>
        </is>
      </c>
      <c r="E16" s="2" t="n">
        <v>1080</v>
      </c>
      <c r="F16" s="2" t="n">
        <v>900</v>
      </c>
      <c r="G16" s="2" t="n">
        <v>170</v>
      </c>
      <c r="H16" s="2" t="n">
        <v>64800</v>
      </c>
      <c r="I16" s="2" t="n">
        <v>62100</v>
      </c>
    </row>
    <row r="17">
      <c r="A17" s="2" t="n">
        <v>16</v>
      </c>
      <c r="B17" s="2" t="inlineStr">
        <is>
          <t>Bearings</t>
        </is>
      </c>
      <c r="C17" s="2" t="inlineStr">
        <is>
          <t>North</t>
        </is>
      </c>
      <c r="D17" s="2" t="inlineStr">
        <is>
          <t>OEM</t>
        </is>
      </c>
      <c r="E17" s="2" t="n">
        <v>1580</v>
      </c>
      <c r="F17" s="2" t="n">
        <v>1320</v>
      </c>
      <c r="G17" s="2" t="n">
        <v>235</v>
      </c>
      <c r="H17" s="2" t="n">
        <v>79000</v>
      </c>
      <c r="I17" s="2" t="n">
        <v>75900</v>
      </c>
    </row>
    <row r="18">
      <c r="A18" s="2" t="n">
        <v>17</v>
      </c>
      <c r="B18" s="2" t="inlineStr">
        <is>
          <t>Bearings</t>
        </is>
      </c>
      <c r="C18" s="2" t="inlineStr">
        <is>
          <t>South</t>
        </is>
      </c>
      <c r="D18" s="2" t="inlineStr">
        <is>
          <t>Distributor</t>
        </is>
      </c>
      <c r="E18" s="2" t="n">
        <v>1460</v>
      </c>
      <c r="F18" s="2" t="n">
        <v>1210</v>
      </c>
      <c r="G18" s="2" t="n">
        <v>215</v>
      </c>
      <c r="H18" s="2" t="n">
        <v>73000</v>
      </c>
      <c r="I18" s="2" t="n">
        <v>65200</v>
      </c>
    </row>
    <row r="19">
      <c r="A19" s="2" t="n">
        <v>18</v>
      </c>
      <c r="B19" s="2" t="inlineStr">
        <is>
          <t>Bearings</t>
        </is>
      </c>
      <c r="C19" s="2" t="inlineStr">
        <is>
          <t>West</t>
        </is>
      </c>
      <c r="D19" s="2" t="inlineStr">
        <is>
          <t>OEM</t>
        </is>
      </c>
      <c r="E19" s="2" t="n">
        <v>1710</v>
      </c>
      <c r="F19" s="2" t="n">
        <v>1450</v>
      </c>
      <c r="G19" s="2" t="n">
        <v>260</v>
      </c>
      <c r="H19" s="2" t="n">
        <v>85500</v>
      </c>
      <c r="I19" s="2" t="n">
        <v>83850</v>
      </c>
    </row>
    <row r="20">
      <c r="A20" s="2" t="n">
        <v>19</v>
      </c>
      <c r="B20" s="2" t="inlineStr">
        <is>
          <t>Gears</t>
        </is>
      </c>
      <c r="C20" s="2" t="inlineStr">
        <is>
          <t>North</t>
        </is>
      </c>
      <c r="D20" s="2" t="inlineStr">
        <is>
          <t>OEM</t>
        </is>
      </c>
      <c r="E20" s="2" t="n">
        <v>1320</v>
      </c>
      <c r="F20" s="2" t="n">
        <v>1090</v>
      </c>
      <c r="G20" s="2" t="n">
        <v>205</v>
      </c>
      <c r="H20" s="2" t="n">
        <v>79200</v>
      </c>
      <c r="I20" s="2" t="n">
        <v>77000</v>
      </c>
    </row>
    <row r="21">
      <c r="A21" s="2" t="n">
        <v>20</v>
      </c>
      <c r="B21" s="2" t="inlineStr">
        <is>
          <t>Shafts</t>
        </is>
      </c>
      <c r="C21" s="2" t="inlineStr">
        <is>
          <t>South</t>
        </is>
      </c>
      <c r="D21" s="2" t="inlineStr">
        <is>
          <t>Distributor</t>
        </is>
      </c>
      <c r="E21" s="2" t="n">
        <v>1160</v>
      </c>
      <c r="F21" s="2" t="n">
        <v>950</v>
      </c>
      <c r="G21" s="2" t="n">
        <v>180</v>
      </c>
      <c r="H21" s="2" t="n">
        <v>69600</v>
      </c>
      <c r="I21" s="2" t="n">
        <v>61700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Case Context</t>
        </is>
      </c>
    </row>
    <row r="2">
      <c r="A2" s="2" t="inlineStr">
        <is>
          <t>Case</t>
        </is>
      </c>
      <c r="B2" s="2" t="inlineStr">
        <is>
          <t>ACE Gears manufacturing case introduction</t>
        </is>
      </c>
    </row>
    <row r="3">
      <c r="A3" s="2" t="inlineStr">
        <is>
          <t>Business Area</t>
        </is>
      </c>
      <c r="B3" s="2" t="inlineStr">
        <is>
          <t>Manufacturing</t>
        </is>
      </c>
    </row>
    <row r="4">
      <c r="A4" s="2" t="inlineStr">
        <is>
          <t>Primary Focus</t>
        </is>
      </c>
      <c r="B4" s="2" t="inlineStr">
        <is>
          <t>Product, revenue, production and regional performance</t>
        </is>
      </c>
    </row>
    <row r="5">
      <c r="A5" s="2" t="inlineStr">
        <is>
          <t>Products</t>
        </is>
      </c>
      <c r="B5" s="2" t="inlineStr">
        <is>
          <t>Gears, Shafts, Bearings</t>
        </is>
      </c>
    </row>
    <row r="6">
      <c r="A6" s="2" t="inlineStr">
        <is>
          <t>Regions</t>
        </is>
      </c>
      <c r="B6" s="2" t="inlineStr">
        <is>
          <t>North, South, West</t>
        </is>
      </c>
    </row>
    <row r="7">
      <c r="A7" s="2" t="inlineStr">
        <is>
          <t>Customer Types</t>
        </is>
      </c>
      <c r="B7" s="2" t="inlineStr">
        <is>
          <t>OEM, Distributor</t>
        </is>
      </c>
    </row>
    <row r="8">
      <c r="A8" s="2" t="inlineStr">
        <is>
          <t>Purpose</t>
        </is>
      </c>
      <c r="B8" s="2" t="inlineStr">
        <is>
          <t>Prepare the dataset and questions for detailed case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14" customWidth="1" min="7" max="7"/>
    <col width="12" customWidth="1" min="8" max="8"/>
  </cols>
  <sheetData>
    <row r="1">
      <c r="A1" s="1" t="inlineStr">
        <is>
          <t>Product</t>
        </is>
      </c>
      <c r="B1" s="1" t="inlineStr">
        <is>
          <t>Production Units</t>
        </is>
      </c>
      <c r="C1" s="1" t="inlineStr">
        <is>
          <t>Sales Units</t>
        </is>
      </c>
      <c r="D1" s="1" t="inlineStr">
        <is>
          <t>Scrap Units</t>
        </is>
      </c>
      <c r="E1" s="1" t="inlineStr">
        <is>
          <t>Revenue</t>
        </is>
      </c>
      <c r="F1" s="1" t="inlineStr">
        <is>
          <t>Production Cost</t>
        </is>
      </c>
      <c r="G1" s="1" t="inlineStr">
        <is>
          <t>Gross Margin</t>
        </is>
      </c>
      <c r="H1" s="1" t="inlineStr">
        <is>
          <t>Scrap Rate</t>
        </is>
      </c>
    </row>
    <row r="2">
      <c r="A2" s="2" t="inlineStr">
        <is>
          <t>Gears</t>
        </is>
      </c>
      <c r="B2" s="2">
        <f>SUMIF(ACE_Gears_Data!$B$2:$B$21,A2,ACE_Gears_Data!$E$2:$E$21)</f>
        <v/>
      </c>
      <c r="C2" s="2">
        <f>SUMIF(ACE_Gears_Data!$B$2:$B$21,A2,ACE_Gears_Data!$F$2:$F$21)</f>
        <v/>
      </c>
      <c r="D2" s="2">
        <f>SUMIF(ACE_Gears_Data!$B$2:$B$21,A2,ACE_Gears_Data!$G$2:$G$21)</f>
        <v/>
      </c>
      <c r="E2" s="2">
        <f>SUMIF(ACE_Gears_Data!$B$2:$B$21,A2,ACE_Gears_Data!$H$2:$H$21)</f>
        <v/>
      </c>
      <c r="F2" s="2">
        <f>SUMIF(ACE_Gears_Data!$B$2:$B$21,A2,ACE_Gears_Data!$I$2:$I$21)</f>
        <v/>
      </c>
      <c r="G2" s="2">
        <f>E2-F2</f>
        <v/>
      </c>
      <c r="H2" s="2">
        <f>D2/B2</f>
        <v/>
      </c>
    </row>
    <row r="3">
      <c r="A3" s="2" t="inlineStr">
        <is>
          <t>Shafts</t>
        </is>
      </c>
      <c r="B3" s="2">
        <f>SUMIF(ACE_Gears_Data!$B$2:$B$21,A3,ACE_Gears_Data!$E$2:$E$21)</f>
        <v/>
      </c>
      <c r="C3" s="2">
        <f>SUMIF(ACE_Gears_Data!$B$2:$B$21,A3,ACE_Gears_Data!$F$2:$F$21)</f>
        <v/>
      </c>
      <c r="D3" s="2">
        <f>SUMIF(ACE_Gears_Data!$B$2:$B$21,A3,ACE_Gears_Data!$G$2:$G$21)</f>
        <v/>
      </c>
      <c r="E3" s="2">
        <f>SUMIF(ACE_Gears_Data!$B$2:$B$21,A3,ACE_Gears_Data!$H$2:$H$21)</f>
        <v/>
      </c>
      <c r="F3" s="2">
        <f>SUMIF(ACE_Gears_Data!$B$2:$B$21,A3,ACE_Gears_Data!$I$2:$I$21)</f>
        <v/>
      </c>
      <c r="G3" s="2">
        <f>E3-F3</f>
        <v/>
      </c>
      <c r="H3" s="2">
        <f>D3/B3</f>
        <v/>
      </c>
    </row>
    <row r="4">
      <c r="A4" s="2" t="inlineStr">
        <is>
          <t>Bearings</t>
        </is>
      </c>
      <c r="B4" s="2">
        <f>SUMIF(ACE_Gears_Data!$B$2:$B$21,A4,ACE_Gears_Data!$E$2:$E$21)</f>
        <v/>
      </c>
      <c r="C4" s="2">
        <f>SUMIF(ACE_Gears_Data!$B$2:$B$21,A4,ACE_Gears_Data!$F$2:$F$21)</f>
        <v/>
      </c>
      <c r="D4" s="2">
        <f>SUMIF(ACE_Gears_Data!$B$2:$B$21,A4,ACE_Gears_Data!$G$2:$G$21)</f>
        <v/>
      </c>
      <c r="E4" s="2">
        <f>SUMIF(ACE_Gears_Data!$B$2:$B$21,A4,ACE_Gears_Data!$H$2:$H$21)</f>
        <v/>
      </c>
      <c r="F4" s="2">
        <f>SUMIF(ACE_Gears_Data!$B$2:$B$21,A4,ACE_Gears_Data!$I$2:$I$21)</f>
        <v/>
      </c>
      <c r="G4" s="2">
        <f>E4-F4</f>
        <v/>
      </c>
      <c r="H4" s="2">
        <f>D4/B4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14" customWidth="1" min="7" max="7"/>
    <col width="12" customWidth="1" min="8" max="8"/>
  </cols>
  <sheetData>
    <row r="1">
      <c r="A1" s="1" t="inlineStr">
        <is>
          <t>Region</t>
        </is>
      </c>
      <c r="B1" s="1" t="inlineStr">
        <is>
          <t>Production Units</t>
        </is>
      </c>
      <c r="C1" s="1" t="inlineStr">
        <is>
          <t>Sales Units</t>
        </is>
      </c>
      <c r="D1" s="1" t="inlineStr">
        <is>
          <t>Scrap Units</t>
        </is>
      </c>
      <c r="E1" s="1" t="inlineStr">
        <is>
          <t>Revenue</t>
        </is>
      </c>
      <c r="F1" s="1" t="inlineStr">
        <is>
          <t>Production Cost</t>
        </is>
      </c>
      <c r="G1" s="1" t="inlineStr">
        <is>
          <t>Gross Margin</t>
        </is>
      </c>
      <c r="H1" s="1" t="inlineStr">
        <is>
          <t>Scrap Rate</t>
        </is>
      </c>
    </row>
    <row r="2">
      <c r="A2" s="2" t="inlineStr">
        <is>
          <t>North</t>
        </is>
      </c>
      <c r="B2" s="2">
        <f>SUMIF(ACE_Gears_Data!$C$2:$C$21,A2,ACE_Gears_Data!$E$2:$E$21)</f>
        <v/>
      </c>
      <c r="C2" s="2">
        <f>SUMIF(ACE_Gears_Data!$C$2:$C$21,A2,ACE_Gears_Data!$F$2:$F$21)</f>
        <v/>
      </c>
      <c r="D2" s="2">
        <f>SUMIF(ACE_Gears_Data!$C$2:$C$21,A2,ACE_Gears_Data!$G$2:$G$21)</f>
        <v/>
      </c>
      <c r="E2" s="2">
        <f>SUMIF(ACE_Gears_Data!$C$2:$C$21,A2,ACE_Gears_Data!$H$2:$H$21)</f>
        <v/>
      </c>
      <c r="F2" s="2">
        <f>SUMIF(ACE_Gears_Data!$C$2:$C$21,A2,ACE_Gears_Data!$I$2:$I$21)</f>
        <v/>
      </c>
      <c r="G2" s="2">
        <f>E2-F2</f>
        <v/>
      </c>
      <c r="H2" s="2">
        <f>D2/B2</f>
        <v/>
      </c>
    </row>
    <row r="3">
      <c r="A3" s="2" t="inlineStr">
        <is>
          <t>South</t>
        </is>
      </c>
      <c r="B3" s="2">
        <f>SUMIF(ACE_Gears_Data!$C$2:$C$21,A3,ACE_Gears_Data!$E$2:$E$21)</f>
        <v/>
      </c>
      <c r="C3" s="2">
        <f>SUMIF(ACE_Gears_Data!$C$2:$C$21,A3,ACE_Gears_Data!$F$2:$F$21)</f>
        <v/>
      </c>
      <c r="D3" s="2">
        <f>SUMIF(ACE_Gears_Data!$C$2:$C$21,A3,ACE_Gears_Data!$G$2:$G$21)</f>
        <v/>
      </c>
      <c r="E3" s="2">
        <f>SUMIF(ACE_Gears_Data!$C$2:$C$21,A3,ACE_Gears_Data!$H$2:$H$21)</f>
        <v/>
      </c>
      <c r="F3" s="2">
        <f>SUMIF(ACE_Gears_Data!$C$2:$C$21,A3,ACE_Gears_Data!$I$2:$I$21)</f>
        <v/>
      </c>
      <c r="G3" s="2">
        <f>E3-F3</f>
        <v/>
      </c>
      <c r="H3" s="2">
        <f>D3/B3</f>
        <v/>
      </c>
    </row>
    <row r="4">
      <c r="A4" s="2" t="inlineStr">
        <is>
          <t>West</t>
        </is>
      </c>
      <c r="B4" s="2">
        <f>SUMIF(ACE_Gears_Data!$C$2:$C$21,A4,ACE_Gears_Data!$E$2:$E$21)</f>
        <v/>
      </c>
      <c r="C4" s="2">
        <f>SUMIF(ACE_Gears_Data!$C$2:$C$21,A4,ACE_Gears_Data!$F$2:$F$21)</f>
        <v/>
      </c>
      <c r="D4" s="2">
        <f>SUMIF(ACE_Gears_Data!$C$2:$C$21,A4,ACE_Gears_Data!$G$2:$G$21)</f>
        <v/>
      </c>
      <c r="E4" s="2">
        <f>SUMIF(ACE_Gears_Data!$C$2:$C$21,A4,ACE_Gears_Data!$H$2:$H$21)</f>
        <v/>
      </c>
      <c r="F4" s="2">
        <f>SUMIF(ACE_Gears_Data!$C$2:$C$21,A4,ACE_Gears_Data!$I$2:$I$21)</f>
        <v/>
      </c>
      <c r="G4" s="2">
        <f>E4-F4</f>
        <v/>
      </c>
      <c r="H4" s="2">
        <f>D4/B4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Customer Type</t>
        </is>
      </c>
      <c r="B1" s="1" t="inlineStr">
        <is>
          <t>Production Units</t>
        </is>
      </c>
      <c r="C1" s="1" t="inlineStr">
        <is>
          <t>Sales Units</t>
        </is>
      </c>
      <c r="D1" s="1" t="inlineStr">
        <is>
          <t>Revenue</t>
        </is>
      </c>
      <c r="E1" s="1" t="inlineStr">
        <is>
          <t>Gross Margin</t>
        </is>
      </c>
    </row>
    <row r="2">
      <c r="A2" s="2" t="inlineStr">
        <is>
          <t>OEM</t>
        </is>
      </c>
      <c r="B2" s="2">
        <f>SUMIF(ACE_Gears_Data!$D$2:$D$21,A2,ACE_Gears_Data!$E$2:$E$21)</f>
        <v/>
      </c>
      <c r="C2" s="2">
        <f>SUMIF(ACE_Gears_Data!$D$2:$D$21,A2,ACE_Gears_Data!$F$2:$F$21)</f>
        <v/>
      </c>
      <c r="D2" s="2">
        <f>SUMIF(ACE_Gears_Data!$D$2:$D$21,A2,ACE_Gears_Data!$H$2:$H$21)</f>
        <v/>
      </c>
      <c r="E2" s="2">
        <f>SUMIF(ACE_Gears_Data!$D$2:$D$21,A2,ACE_Gears_Data!$H$2:$H$21)-SUMIF(ACE_Gears_Data!$D$2:$D$21,A2,ACE_Gears_Data!$I$2:$I$21)</f>
        <v/>
      </c>
    </row>
    <row r="3">
      <c r="A3" s="2" t="inlineStr">
        <is>
          <t>Distributor</t>
        </is>
      </c>
      <c r="B3" s="2">
        <f>SUMIF(ACE_Gears_Data!$D$2:$D$21,A3,ACE_Gears_Data!$E$2:$E$21)</f>
        <v/>
      </c>
      <c r="C3" s="2">
        <f>SUMIF(ACE_Gears_Data!$D$2:$D$21,A3,ACE_Gears_Data!$F$2:$F$21)</f>
        <v/>
      </c>
      <c r="D3" s="2">
        <f>SUMIF(ACE_Gears_Data!$D$2:$D$21,A3,ACE_Gears_Data!$H$2:$H$21)</f>
        <v/>
      </c>
      <c r="E3" s="2">
        <f>SUMIF(ACE_Gears_Data!$D$2:$D$21,A3,ACE_Gears_Data!$H$2:$H$21)-SUMIF(ACE_Gears_Data!$D$2:$D$21,A3,ACE_Gears_Data!$I$2:$I$21)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40" customWidth="1" min="3" max="3"/>
  </cols>
  <sheetData>
    <row r="1">
      <c r="A1" s="1" t="inlineStr">
        <is>
          <t>Question_ID</t>
        </is>
      </c>
      <c r="B1" s="1" t="inlineStr">
        <is>
          <t>Business Question</t>
        </is>
      </c>
      <c r="C1" s="1" t="inlineStr">
        <is>
          <t>Analysis</t>
        </is>
      </c>
    </row>
    <row r="2">
      <c r="A2" s="2" t="n">
        <v>1</v>
      </c>
      <c r="B2" s="2" t="inlineStr">
        <is>
          <t>Which product generates the most revenue?</t>
        </is>
      </c>
      <c r="C2" s="2" t="inlineStr">
        <is>
          <t>Product summary</t>
        </is>
      </c>
    </row>
    <row r="3">
      <c r="A3" s="2" t="n">
        <v>2</v>
      </c>
      <c r="B3" s="2" t="inlineStr">
        <is>
          <t>Which product has the highest sales volume?</t>
        </is>
      </c>
      <c r="C3" s="2" t="inlineStr">
        <is>
          <t>Product summary</t>
        </is>
      </c>
    </row>
    <row r="4">
      <c r="A4" s="2" t="n">
        <v>3</v>
      </c>
      <c r="B4" s="2" t="inlineStr">
        <is>
          <t>Which region contributes the most revenue?</t>
        </is>
      </c>
      <c r="C4" s="2" t="inlineStr">
        <is>
          <t>Regional summary</t>
        </is>
      </c>
    </row>
    <row r="5">
      <c r="A5" s="2" t="n">
        <v>4</v>
      </c>
      <c r="B5" s="2" t="inlineStr">
        <is>
          <t>How do OEM and Distributor customers compare?</t>
        </is>
      </c>
      <c r="C5" s="2" t="inlineStr">
        <is>
          <t>Customer summary</t>
        </is>
      </c>
    </row>
    <row r="6">
      <c r="A6" s="2" t="n">
        <v>5</v>
      </c>
      <c r="B6" s="2" t="inlineStr">
        <is>
          <t>What is the relationship between production and sales?</t>
        </is>
      </c>
      <c r="C6" s="2" t="inlineStr">
        <is>
          <t>Production vs sales</t>
        </is>
      </c>
    </row>
    <row r="7">
      <c r="A7" s="2" t="n">
        <v>6</v>
      </c>
      <c r="B7" s="2" t="inlineStr">
        <is>
          <t>Where is scrap rate relatively high?</t>
        </is>
      </c>
      <c r="C7" s="2" t="inlineStr">
        <is>
          <t>Product and region quality metrics</t>
        </is>
      </c>
    </row>
    <row r="8">
      <c r="A8" s="2" t="n">
        <v>7</v>
      </c>
      <c r="B8" s="2" t="inlineStr">
        <is>
          <t>Which products should be examined further?</t>
        </is>
      </c>
      <c r="C8" s="2" t="inlineStr">
        <is>
          <t>Combine product and financial evidence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2" customWidth="1" min="3" max="3"/>
  </cols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Type</t>
        </is>
      </c>
    </row>
    <row r="2">
      <c r="A2" s="2" t="inlineStr">
        <is>
          <t>Record_ID</t>
        </is>
      </c>
      <c r="B2" s="2" t="inlineStr">
        <is>
          <t>Observation identifier</t>
        </is>
      </c>
      <c r="C2" s="2" t="inlineStr">
        <is>
          <t>Integer</t>
        </is>
      </c>
    </row>
    <row r="3">
      <c r="A3" s="2" t="inlineStr">
        <is>
          <t>Product</t>
        </is>
      </c>
      <c r="B3" s="2" t="inlineStr">
        <is>
          <t>Manufactured product</t>
        </is>
      </c>
      <c r="C3" s="2" t="inlineStr">
        <is>
          <t>Category</t>
        </is>
      </c>
    </row>
    <row r="4">
      <c r="A4" s="2" t="inlineStr">
        <is>
          <t>Region</t>
        </is>
      </c>
      <c r="B4" s="2" t="inlineStr">
        <is>
          <t>Business region</t>
        </is>
      </c>
      <c r="C4" s="2" t="inlineStr">
        <is>
          <t>Category</t>
        </is>
      </c>
    </row>
    <row r="5">
      <c r="A5" s="2" t="inlineStr">
        <is>
          <t>Customer_Type</t>
        </is>
      </c>
      <c r="B5" s="2" t="inlineStr">
        <is>
          <t>Customer type</t>
        </is>
      </c>
      <c r="C5" s="2" t="inlineStr">
        <is>
          <t>Category</t>
        </is>
      </c>
    </row>
    <row r="6">
      <c r="A6" s="2" t="inlineStr">
        <is>
          <t>Production_Units</t>
        </is>
      </c>
      <c r="B6" s="2" t="inlineStr">
        <is>
          <t>Units produced</t>
        </is>
      </c>
      <c r="C6" s="2" t="inlineStr">
        <is>
          <t>Numeric</t>
        </is>
      </c>
    </row>
    <row r="7">
      <c r="A7" s="2" t="inlineStr">
        <is>
          <t>Sales_Units</t>
        </is>
      </c>
      <c r="B7" s="2" t="inlineStr">
        <is>
          <t>Units sold</t>
        </is>
      </c>
      <c r="C7" s="2" t="inlineStr">
        <is>
          <t>Numeric</t>
        </is>
      </c>
    </row>
    <row r="8">
      <c r="A8" s="2" t="inlineStr">
        <is>
          <t>Scrap_Units</t>
        </is>
      </c>
      <c r="B8" s="2" t="inlineStr">
        <is>
          <t>Units classified as scrap</t>
        </is>
      </c>
      <c r="C8" s="2" t="inlineStr">
        <is>
          <t>Numeric</t>
        </is>
      </c>
    </row>
    <row r="9">
      <c r="A9" s="2" t="inlineStr">
        <is>
          <t>Revenue</t>
        </is>
      </c>
      <c r="B9" s="2" t="inlineStr">
        <is>
          <t>Recorded revenue</t>
        </is>
      </c>
      <c r="C9" s="2" t="inlineStr">
        <is>
          <t>Numeric</t>
        </is>
      </c>
    </row>
    <row r="10">
      <c r="A10" s="2" t="inlineStr">
        <is>
          <t>Production_Cost</t>
        </is>
      </c>
      <c r="B10" s="2" t="inlineStr">
        <is>
          <t>Recorded production cost</t>
        </is>
      </c>
      <c r="C10" s="2" t="inlineStr">
        <is>
          <t>Numeric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Area</t>
        </is>
      </c>
      <c r="B1" s="1" t="inlineStr">
        <is>
          <t>Case Learning</t>
        </is>
      </c>
    </row>
    <row r="2">
      <c r="A2" s="2" t="inlineStr">
        <is>
          <t>Case Context</t>
        </is>
      </c>
      <c r="B2" s="2" t="inlineStr">
        <is>
          <t>ACE Gears is treated as a manufacturing-sector business case for analytical practice.</t>
        </is>
      </c>
    </row>
    <row r="3">
      <c r="A3" s="2" t="inlineStr">
        <is>
          <t>Product View</t>
        </is>
      </c>
      <c r="B3" s="2" t="inlineStr">
        <is>
          <t>Product-level analysis helps compare output, sales, revenue and quality indicators.</t>
        </is>
      </c>
    </row>
    <row r="4">
      <c r="A4" s="2" t="inlineStr">
        <is>
          <t>Regional View</t>
        </is>
      </c>
      <c r="B4" s="2" t="inlineStr">
        <is>
          <t>Regional analysis allows the same KPIs to be compared across business regions.</t>
        </is>
      </c>
    </row>
    <row r="5">
      <c r="A5" s="2" t="inlineStr">
        <is>
          <t>Customer View</t>
        </is>
      </c>
      <c r="B5" s="2" t="inlineStr">
        <is>
          <t>OEM and Distributor groups provide a customer-type perspective.</t>
        </is>
      </c>
    </row>
    <row r="6">
      <c r="A6" s="2" t="inlineStr">
        <is>
          <t>Quality View</t>
        </is>
      </c>
      <c r="B6" s="2" t="inlineStr">
        <is>
          <t>Scrap rate provides a simple way to compare production losses.</t>
        </is>
      </c>
    </row>
    <row r="7">
      <c r="A7" s="2" t="inlineStr">
        <is>
          <t>Financial View</t>
        </is>
      </c>
      <c r="B7" s="2" t="inlineStr">
        <is>
          <t>Revenue, production cost and gross margin provide a basic financial view.</t>
        </is>
      </c>
    </row>
    <row r="8">
      <c r="A8" s="2" t="inlineStr">
        <is>
          <t>Next Step</t>
        </is>
      </c>
      <c r="B8" s="2" t="inlineStr">
        <is>
          <t>The following case stages can use the prepared dataset for deeper analysis.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s="2" t="n">
        <v>1</v>
      </c>
      <c r="B2" s="2" t="inlineStr">
        <is>
          <t>Read Case_Context before analyzing the data.</t>
        </is>
      </c>
    </row>
    <row r="3">
      <c r="A3" s="2" t="n">
        <v>2</v>
      </c>
      <c r="B3" s="2" t="inlineStr">
        <is>
          <t>Review the Data_Dictionary.</t>
        </is>
      </c>
    </row>
    <row r="4">
      <c r="A4" s="2" t="n">
        <v>3</v>
      </c>
      <c r="B4" s="2" t="inlineStr">
        <is>
          <t>Inspect ACE_Gears_Data.</t>
        </is>
      </c>
    </row>
    <row r="5">
      <c r="A5" s="2" t="n">
        <v>4</v>
      </c>
      <c r="B5" s="2" t="inlineStr">
        <is>
          <t>Review Product_Summary.</t>
        </is>
      </c>
    </row>
    <row r="6">
      <c r="A6" s="2" t="n">
        <v>5</v>
      </c>
      <c r="B6" s="2" t="inlineStr">
        <is>
          <t>Review Region_Summary.</t>
        </is>
      </c>
    </row>
    <row r="7">
      <c r="A7" s="2" t="n">
        <v>6</v>
      </c>
      <c r="B7" s="2" t="inlineStr">
        <is>
          <t>Review Customer_Summary.</t>
        </is>
      </c>
    </row>
    <row r="8">
      <c r="A8" s="2" t="n">
        <v>7</v>
      </c>
      <c r="B8" s="2" t="inlineStr">
        <is>
          <t>Attempt the Case_Questions.</t>
        </is>
      </c>
    </row>
    <row r="9">
      <c r="A9" s="2" t="n">
        <v>8</v>
      </c>
      <c r="B9" s="2" t="inlineStr">
        <is>
          <t>Use Business_Insights as learning guidance, not as a substitute for analysis.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8" customWidth="1" min="3" max="3"/>
    <col width="40" customWidth="1" min="4" max="4"/>
    <col width="13" customWidth="1" min="5" max="5"/>
    <col width="29" customWidth="1" min="6" max="6"/>
  </cols>
  <sheetData>
    <row r="1">
      <c r="A1" s="1" t="inlineStr">
        <is>
          <t>ACE GEARS CASE — INTRODUCTION DASHBOARD</t>
        </is>
      </c>
      <c r="B1" s="1" t="n"/>
      <c r="C1" s="1" t="n"/>
      <c r="D1" s="1" t="n"/>
      <c r="E1" s="1" t="n"/>
      <c r="F1" s="1" t="n"/>
    </row>
    <row r="2">
      <c r="A2" s="2" t="inlineStr">
        <is>
          <t>Day 039 | Product, regional and customer analysis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inlineStr">
        <is>
          <t>Total Revenue</t>
        </is>
      </c>
      <c r="B4" s="2">
        <f>SUM(ACE_Gears_Data!H2:H21)</f>
        <v/>
      </c>
      <c r="C4" s="2" t="inlineStr">
        <is>
          <t>Total Production</t>
        </is>
      </c>
      <c r="D4" s="2">
        <f>SUM(ACE_Gears_Data!E2:E21)</f>
        <v/>
      </c>
      <c r="E4" s="2" t="inlineStr">
        <is>
          <t>Total Sales</t>
        </is>
      </c>
      <c r="F4" s="2">
        <f>SUM(ACE_Gears_Data!F2:F21)</f>
        <v/>
      </c>
    </row>
    <row r="5">
      <c r="A5" s="2" t="n"/>
      <c r="B5" s="2" t="n"/>
      <c r="C5" s="2" t="n"/>
      <c r="D5" s="2" t="n"/>
      <c r="E5" s="2" t="n"/>
      <c r="F5" s="2" t="n"/>
    </row>
    <row r="6">
      <c r="A6" s="3" t="inlineStr">
        <is>
          <t>Product</t>
        </is>
      </c>
      <c r="B6" s="3" t="inlineStr">
        <is>
          <t>Revenue</t>
        </is>
      </c>
      <c r="C6" s="3" t="inlineStr">
        <is>
          <t>Region</t>
        </is>
      </c>
      <c r="D6" s="3" t="inlineStr">
        <is>
          <t>Revenue</t>
        </is>
      </c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inlineStr">
        <is>
          <t>Gears</t>
        </is>
      </c>
      <c r="B8" s="2">
        <f>SUMIF(ACE_Gears_Data!$B$2:$B$21,A8,ACE_Gears_Data!$H$2:$H$21)</f>
        <v/>
      </c>
      <c r="C8" s="2" t="inlineStr">
        <is>
          <t>North</t>
        </is>
      </c>
      <c r="D8" s="2">
        <f>SUMIF(ACE_Gears_Data!$C$2:$C$21,C8,ACE_Gears_Data!$H$2:$H$21)</f>
        <v/>
      </c>
      <c r="E8" s="2" t="n"/>
      <c r="F8" s="2" t="n"/>
    </row>
    <row r="9">
      <c r="A9" s="2" t="inlineStr">
        <is>
          <t>Shafts</t>
        </is>
      </c>
      <c r="B9" s="2">
        <f>SUMIF(ACE_Gears_Data!$B$2:$B$21,A9,ACE_Gears_Data!$H$2:$H$21)</f>
        <v/>
      </c>
      <c r="C9" s="2" t="inlineStr">
        <is>
          <t>South</t>
        </is>
      </c>
      <c r="D9" s="2">
        <f>SUMIF(ACE_Gears_Data!$C$2:$C$21,C9,ACE_Gears_Data!$H$2:$H$21)</f>
        <v/>
      </c>
      <c r="E9" s="2" t="n"/>
      <c r="F9" s="2" t="n"/>
    </row>
    <row r="10">
      <c r="A10" s="2" t="inlineStr">
        <is>
          <t>Bearings</t>
        </is>
      </c>
      <c r="B10" s="2">
        <f>SUMIF(ACE_Gears_Data!$B$2:$B$21,A10,ACE_Gears_Data!$H$2:$H$21)</f>
        <v/>
      </c>
      <c r="C10" s="2" t="inlineStr">
        <is>
          <t>West</t>
        </is>
      </c>
      <c r="D10" s="2">
        <f>SUMIF(ACE_Gears_Data!$C$2:$C$21,C10,ACE_Gears_Data!$H$2:$H$21)</f>
        <v/>
      </c>
      <c r="E10" s="2" t="n"/>
      <c r="F10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2026-09-16T02:08:49Z</dcterms:created>
  <dcterms:modified xmlns:dcterms="http://purl.org/dc/terms/" xmlns:xsi="http://www.w3.org/2001/XMLSchema-instance" xsi:type="dcterms:W3CDTF">2026-09-16T02:08:49Z</dcterms:modified>
</cp:coreProperties>
</file>