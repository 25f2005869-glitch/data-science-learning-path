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ral_Spending_Data" sheetId="1" state="visible" r:id="rId1"/>
    <sheet xmlns:r="http://schemas.openxmlformats.org/officeDocument/2006/relationships" name="Rural_Analysis" sheetId="2" state="visible" r:id="rId2"/>
    <sheet xmlns:r="http://schemas.openxmlformats.org/officeDocument/2006/relationships" name="Rural_Age_Analysis" sheetId="3" state="visible" r:id="rId3"/>
    <sheet xmlns:r="http://schemas.openxmlformats.org/officeDocument/2006/relationships" name="Spending_Summary" sheetId="4" state="visible" r:id="rId4"/>
    <sheet xmlns:r="http://schemas.openxmlformats.org/officeDocument/2006/relationships" name="Insights" sheetId="5" state="visible" r:id="rId5"/>
    <sheet xmlns:r="http://schemas.openxmlformats.org/officeDocument/2006/relationships" name="Practice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6" customWidth="1" min="8" max="8"/>
    <col width="17" customWidth="1" min="9" max="9"/>
    <col width="18" customWidth="1" min="10" max="10"/>
    <col width="17" customWidth="1" min="11" max="11"/>
    <col width="16" customWidth="1" min="12" max="12"/>
  </cols>
  <sheetData>
    <row r="1">
      <c r="A1" s="1" t="inlineStr">
        <is>
          <t>Respondent_ID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Household_Size</t>
        </is>
      </c>
      <c r="F1" s="1" t="inlineStr">
        <is>
          <t>Monthly_Income</t>
        </is>
      </c>
      <c r="G1" s="1" t="inlineStr">
        <is>
          <t>Food_Spend</t>
        </is>
      </c>
      <c r="H1" s="1" t="inlineStr">
        <is>
          <t>Clothing_Spend</t>
        </is>
      </c>
      <c r="I1" s="1" t="inlineStr">
        <is>
          <t>Transport_Spend</t>
        </is>
      </c>
      <c r="J1" s="1" t="inlineStr">
        <is>
          <t>Healthcare_Spend</t>
        </is>
      </c>
      <c r="K1" s="1" t="inlineStr">
        <is>
          <t>Education_Spend</t>
        </is>
      </c>
      <c r="L1" s="1" t="inlineStr">
        <is>
          <t>Total_Spending</t>
        </is>
      </c>
    </row>
    <row r="2">
      <c r="A2" t="inlineStr">
        <is>
          <t>R01</t>
        </is>
      </c>
      <c r="B2" t="inlineStr">
        <is>
          <t>18-25</t>
        </is>
      </c>
      <c r="C2" t="inlineStr">
        <is>
          <t>Female</t>
        </is>
      </c>
      <c r="D2" t="inlineStr">
        <is>
          <t>Rural</t>
        </is>
      </c>
      <c r="E2" t="n">
        <v>4</v>
      </c>
      <c r="F2" s="2" t="n">
        <v>18000</v>
      </c>
      <c r="G2" s="2" t="n">
        <v>6500</v>
      </c>
      <c r="H2" s="2" t="n">
        <v>1200</v>
      </c>
      <c r="I2" s="2" t="n">
        <v>900</v>
      </c>
      <c r="J2" s="2" t="n">
        <v>700</v>
      </c>
      <c r="K2" s="2" t="n">
        <v>1100</v>
      </c>
      <c r="L2" s="2">
        <f>SUM(G2:K2)</f>
        <v/>
      </c>
    </row>
    <row r="3">
      <c r="A3" t="inlineStr">
        <is>
          <t>R02</t>
        </is>
      </c>
      <c r="B3" t="inlineStr">
        <is>
          <t>26-35</t>
        </is>
      </c>
      <c r="C3" t="inlineStr">
        <is>
          <t>Male</t>
        </is>
      </c>
      <c r="D3" t="inlineStr">
        <is>
          <t>Rural</t>
        </is>
      </c>
      <c r="E3" t="n">
        <v>5</v>
      </c>
      <c r="F3" s="2" t="n">
        <v>24000</v>
      </c>
      <c r="G3" s="2" t="n">
        <v>8200</v>
      </c>
      <c r="H3" s="2" t="n">
        <v>1500</v>
      </c>
      <c r="I3" s="2" t="n">
        <v>1300</v>
      </c>
      <c r="J3" s="2" t="n">
        <v>900</v>
      </c>
      <c r="K3" s="2" t="n">
        <v>1600</v>
      </c>
      <c r="L3" s="2">
        <f>SUM(G3:K3)</f>
        <v/>
      </c>
    </row>
    <row r="4">
      <c r="A4" t="inlineStr">
        <is>
          <t>R03</t>
        </is>
      </c>
      <c r="B4" t="inlineStr">
        <is>
          <t>36-45</t>
        </is>
      </c>
      <c r="C4" t="inlineStr">
        <is>
          <t>Female</t>
        </is>
      </c>
      <c r="D4" t="inlineStr">
        <is>
          <t>Rural</t>
        </is>
      </c>
      <c r="E4" t="n">
        <v>6</v>
      </c>
      <c r="F4" s="2" t="n">
        <v>30000</v>
      </c>
      <c r="G4" s="2" t="n">
        <v>9800</v>
      </c>
      <c r="H4" s="2" t="n">
        <v>1800</v>
      </c>
      <c r="I4" s="2" t="n">
        <v>1500</v>
      </c>
      <c r="J4" s="2" t="n">
        <v>1200</v>
      </c>
      <c r="K4" s="2" t="n">
        <v>2200</v>
      </c>
      <c r="L4" s="2">
        <f>SUM(G4:K4)</f>
        <v/>
      </c>
    </row>
    <row r="5">
      <c r="A5" t="inlineStr">
        <is>
          <t>R04</t>
        </is>
      </c>
      <c r="B5" t="inlineStr">
        <is>
          <t>46-55</t>
        </is>
      </c>
      <c r="C5" t="inlineStr">
        <is>
          <t>Male</t>
        </is>
      </c>
      <c r="D5" t="inlineStr">
        <is>
          <t>Rural</t>
        </is>
      </c>
      <c r="E5" t="n">
        <v>5</v>
      </c>
      <c r="F5" s="2" t="n">
        <v>28000</v>
      </c>
      <c r="G5" s="2" t="n">
        <v>9000</v>
      </c>
      <c r="H5" s="2" t="n">
        <v>1400</v>
      </c>
      <c r="I5" s="2" t="n">
        <v>1200</v>
      </c>
      <c r="J5" s="2" t="n">
        <v>1100</v>
      </c>
      <c r="K5" s="2" t="n">
        <v>1800</v>
      </c>
      <c r="L5" s="2">
        <f>SUM(G5:K5)</f>
        <v/>
      </c>
    </row>
    <row r="6">
      <c r="A6" t="inlineStr">
        <is>
          <t>R05</t>
        </is>
      </c>
      <c r="B6" t="inlineStr">
        <is>
          <t>56+</t>
        </is>
      </c>
      <c r="C6" t="inlineStr">
        <is>
          <t>Female</t>
        </is>
      </c>
      <c r="D6" t="inlineStr">
        <is>
          <t>Rural</t>
        </is>
      </c>
      <c r="E6" t="n">
        <v>3</v>
      </c>
      <c r="F6" s="2" t="n">
        <v>22000</v>
      </c>
      <c r="G6" s="2" t="n">
        <v>7600</v>
      </c>
      <c r="H6" s="2" t="n">
        <v>1000</v>
      </c>
      <c r="I6" s="2" t="n">
        <v>800</v>
      </c>
      <c r="J6" s="2" t="n">
        <v>1000</v>
      </c>
      <c r="K6" s="2" t="n">
        <v>900</v>
      </c>
      <c r="L6" s="2">
        <f>SUM(G6:K6)</f>
        <v/>
      </c>
    </row>
    <row r="7">
      <c r="A7" t="inlineStr">
        <is>
          <t>R06</t>
        </is>
      </c>
      <c r="B7" t="inlineStr">
        <is>
          <t>18-25</t>
        </is>
      </c>
      <c r="C7" t="inlineStr">
        <is>
          <t>Male</t>
        </is>
      </c>
      <c r="D7" t="inlineStr">
        <is>
          <t>Rural</t>
        </is>
      </c>
      <c r="E7" t="n">
        <v>4</v>
      </c>
      <c r="F7" s="2" t="n">
        <v>19000</v>
      </c>
      <c r="G7" s="2" t="n">
        <v>6800</v>
      </c>
      <c r="H7" s="2" t="n">
        <v>1300</v>
      </c>
      <c r="I7" s="2" t="n">
        <v>1000</v>
      </c>
      <c r="J7" s="2" t="n">
        <v>600</v>
      </c>
      <c r="K7" s="2" t="n">
        <v>1200</v>
      </c>
      <c r="L7" s="2">
        <f>SUM(G7:K7)</f>
        <v/>
      </c>
    </row>
    <row r="8">
      <c r="A8" t="inlineStr">
        <is>
          <t>R07</t>
        </is>
      </c>
      <c r="B8" t="inlineStr">
        <is>
          <t>26-35</t>
        </is>
      </c>
      <c r="C8" t="inlineStr">
        <is>
          <t>Female</t>
        </is>
      </c>
      <c r="D8" t="inlineStr">
        <is>
          <t>Rural</t>
        </is>
      </c>
      <c r="E8" t="n">
        <v>5</v>
      </c>
      <c r="F8" s="2" t="n">
        <v>26000</v>
      </c>
      <c r="G8" s="2" t="n">
        <v>8700</v>
      </c>
      <c r="H8" s="2" t="n">
        <v>1600</v>
      </c>
      <c r="I8" s="2" t="n">
        <v>1200</v>
      </c>
      <c r="J8" s="2" t="n">
        <v>800</v>
      </c>
      <c r="K8" s="2" t="n">
        <v>1800</v>
      </c>
      <c r="L8" s="2">
        <f>SUM(G8:K8)</f>
        <v/>
      </c>
    </row>
    <row r="9">
      <c r="A9" t="inlineStr">
        <is>
          <t>R08</t>
        </is>
      </c>
      <c r="B9" t="inlineStr">
        <is>
          <t>36-45</t>
        </is>
      </c>
      <c r="C9" t="inlineStr">
        <is>
          <t>Male</t>
        </is>
      </c>
      <c r="D9" t="inlineStr">
        <is>
          <t>Rural</t>
        </is>
      </c>
      <c r="E9" t="n">
        <v>7</v>
      </c>
      <c r="F9" s="2" t="n">
        <v>34000</v>
      </c>
      <c r="G9" s="2" t="n">
        <v>11000</v>
      </c>
      <c r="H9" s="2" t="n">
        <v>2100</v>
      </c>
      <c r="I9" s="2" t="n">
        <v>1800</v>
      </c>
      <c r="J9" s="2" t="n">
        <v>1300</v>
      </c>
      <c r="K9" s="2" t="n">
        <v>2500</v>
      </c>
      <c r="L9" s="2">
        <f>SUM(G9:K9)</f>
        <v/>
      </c>
    </row>
    <row r="10">
      <c r="A10" t="inlineStr">
        <is>
          <t>R09</t>
        </is>
      </c>
      <c r="B10" t="inlineStr">
        <is>
          <t>46-55</t>
        </is>
      </c>
      <c r="C10" t="inlineStr">
        <is>
          <t>Female</t>
        </is>
      </c>
      <c r="D10" t="inlineStr">
        <is>
          <t>Rural</t>
        </is>
      </c>
      <c r="E10" t="n">
        <v>4</v>
      </c>
      <c r="F10" s="2" t="n">
        <v>29000</v>
      </c>
      <c r="G10" s="2" t="n">
        <v>9200</v>
      </c>
      <c r="H10" s="2" t="n">
        <v>1500</v>
      </c>
      <c r="I10" s="2" t="n">
        <v>1300</v>
      </c>
      <c r="J10" s="2" t="n">
        <v>1000</v>
      </c>
      <c r="K10" s="2" t="n">
        <v>1900</v>
      </c>
      <c r="L10" s="2">
        <f>SUM(G10:K10)</f>
        <v/>
      </c>
    </row>
    <row r="11">
      <c r="A11" t="inlineStr">
        <is>
          <t>R10</t>
        </is>
      </c>
      <c r="B11" t="inlineStr">
        <is>
          <t>56+</t>
        </is>
      </c>
      <c r="C11" t="inlineStr">
        <is>
          <t>Male</t>
        </is>
      </c>
      <c r="D11" t="inlineStr">
        <is>
          <t>Rural</t>
        </is>
      </c>
      <c r="E11" t="n">
        <v>3</v>
      </c>
      <c r="F11" s="2" t="n">
        <v>23000</v>
      </c>
      <c r="G11" s="2" t="n">
        <v>7900</v>
      </c>
      <c r="H11" s="2" t="n">
        <v>1100</v>
      </c>
      <c r="I11" s="2" t="n">
        <v>900</v>
      </c>
      <c r="J11" s="2" t="n">
        <v>900</v>
      </c>
      <c r="K11" s="2" t="n">
        <v>1000</v>
      </c>
      <c r="L11" s="2">
        <f>SUM(G11:K11)</f>
        <v/>
      </c>
    </row>
    <row r="12">
      <c r="A12" t="inlineStr">
        <is>
          <t>R11</t>
        </is>
      </c>
      <c r="B12" t="inlineStr">
        <is>
          <t>18-25</t>
        </is>
      </c>
      <c r="C12" t="inlineStr">
        <is>
          <t>Female</t>
        </is>
      </c>
      <c r="D12" t="inlineStr">
        <is>
          <t>Urban</t>
        </is>
      </c>
      <c r="E12" t="n">
        <v>3</v>
      </c>
      <c r="F12" s="2" t="n">
        <v>32000</v>
      </c>
      <c r="G12" s="2" t="n">
        <v>7000</v>
      </c>
      <c r="H12" s="2" t="n">
        <v>2200</v>
      </c>
      <c r="I12" s="2" t="n">
        <v>2500</v>
      </c>
      <c r="J12" s="2" t="n">
        <v>900</v>
      </c>
      <c r="K12" s="2" t="n">
        <v>1400</v>
      </c>
      <c r="L12" s="2">
        <f>SUM(G12:K12)</f>
        <v/>
      </c>
    </row>
    <row r="13">
      <c r="A13" t="inlineStr">
        <is>
          <t>R12</t>
        </is>
      </c>
      <c r="B13" t="inlineStr">
        <is>
          <t>26-35</t>
        </is>
      </c>
      <c r="C13" t="inlineStr">
        <is>
          <t>Male</t>
        </is>
      </c>
      <c r="D13" t="inlineStr">
        <is>
          <t>Urban</t>
        </is>
      </c>
      <c r="E13" t="n">
        <v>4</v>
      </c>
      <c r="F13" s="2" t="n">
        <v>42000</v>
      </c>
      <c r="G13" s="2" t="n">
        <v>8500</v>
      </c>
      <c r="H13" s="2" t="n">
        <v>3000</v>
      </c>
      <c r="I13" s="2" t="n">
        <v>3200</v>
      </c>
      <c r="J13" s="2" t="n">
        <v>1200</v>
      </c>
      <c r="K13" s="2" t="n">
        <v>2200</v>
      </c>
      <c r="L13" s="2">
        <f>SUM(G13:K13)</f>
        <v/>
      </c>
    </row>
    <row r="14">
      <c r="A14" t="inlineStr">
        <is>
          <t>R13</t>
        </is>
      </c>
      <c r="B14" t="inlineStr">
        <is>
          <t>36-45</t>
        </is>
      </c>
      <c r="C14" t="inlineStr">
        <is>
          <t>Female</t>
        </is>
      </c>
      <c r="D14" t="inlineStr">
        <is>
          <t>Urban</t>
        </is>
      </c>
      <c r="E14" t="n">
        <v>4</v>
      </c>
      <c r="F14" s="2" t="n">
        <v>50000</v>
      </c>
      <c r="G14" s="2" t="n">
        <v>10000</v>
      </c>
      <c r="H14" s="2" t="n">
        <v>3500</v>
      </c>
      <c r="I14" s="2" t="n">
        <v>3800</v>
      </c>
      <c r="J14" s="2" t="n">
        <v>1500</v>
      </c>
      <c r="K14" s="2" t="n">
        <v>2800</v>
      </c>
      <c r="L14" s="2">
        <f>SUM(G14:K14)</f>
        <v/>
      </c>
    </row>
    <row r="15">
      <c r="A15" t="inlineStr">
        <is>
          <t>R14</t>
        </is>
      </c>
      <c r="B15" t="inlineStr">
        <is>
          <t>46-55</t>
        </is>
      </c>
      <c r="C15" t="inlineStr">
        <is>
          <t>Male</t>
        </is>
      </c>
      <c r="D15" t="inlineStr">
        <is>
          <t>Urban</t>
        </is>
      </c>
      <c r="E15" t="n">
        <v>3</v>
      </c>
      <c r="F15" s="2" t="n">
        <v>46000</v>
      </c>
      <c r="G15" s="2" t="n">
        <v>9300</v>
      </c>
      <c r="H15" s="2" t="n">
        <v>3000</v>
      </c>
      <c r="I15" s="2" t="n">
        <v>3400</v>
      </c>
      <c r="J15" s="2" t="n">
        <v>1300</v>
      </c>
      <c r="K15" s="2" t="n">
        <v>2400</v>
      </c>
      <c r="L15" s="2">
        <f>SUM(G15:K15)</f>
        <v/>
      </c>
    </row>
    <row r="16">
      <c r="A16" t="inlineStr">
        <is>
          <t>R15</t>
        </is>
      </c>
      <c r="B16" t="inlineStr">
        <is>
          <t>56+</t>
        </is>
      </c>
      <c r="C16" t="inlineStr">
        <is>
          <t>Female</t>
        </is>
      </c>
      <c r="D16" t="inlineStr">
        <is>
          <t>Urban</t>
        </is>
      </c>
      <c r="E16" t="n">
        <v>2</v>
      </c>
      <c r="F16" s="2" t="n">
        <v>38000</v>
      </c>
      <c r="G16" s="2" t="n">
        <v>8200</v>
      </c>
      <c r="H16" s="2" t="n">
        <v>2400</v>
      </c>
      <c r="I16" s="2" t="n">
        <v>2200</v>
      </c>
      <c r="J16" s="2" t="n">
        <v>1200</v>
      </c>
      <c r="K16" s="2" t="n">
        <v>1700</v>
      </c>
      <c r="L16" s="2">
        <f>SUM(G16:K16)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  <col width="16" customWidth="1" min="4" max="4"/>
  </cols>
  <sheetData>
    <row r="1">
      <c r="A1" s="1" t="inlineStr">
        <is>
          <t>Metric</t>
        </is>
      </c>
      <c r="B1" s="1" t="inlineStr">
        <is>
          <t>Rural</t>
        </is>
      </c>
      <c r="C1" s="1" t="inlineStr">
        <is>
          <t>Urban</t>
        </is>
      </c>
      <c r="D1" s="1" t="inlineStr">
        <is>
          <t>Rural_vs_Urban</t>
        </is>
      </c>
    </row>
    <row r="2">
      <c r="A2" t="inlineStr">
        <is>
          <t>Respondent Count</t>
        </is>
      </c>
      <c r="B2">
        <f>COUNTIF(Rural_Spending_Data!D2:D16,"Rural")</f>
        <v/>
      </c>
      <c r="C2">
        <f>COUNTIF(Rural_Spending_Data!D2:D16,"Urban")</f>
        <v/>
      </c>
      <c r="D2">
        <f>B2-C2</f>
        <v/>
      </c>
    </row>
    <row r="3">
      <c r="A3" t="inlineStr">
        <is>
          <t>Average Monthly Income</t>
        </is>
      </c>
      <c r="B3" s="3">
        <f>AVERAGEIF(Rural_Spending_Data!D2:D16,"Rural",Rural_Spending_Data!F2:F16)</f>
        <v/>
      </c>
      <c r="C3" s="3">
        <f>AVERAGEIF(Rural_Spending_Data!D2:D16,"Urban",Rural_Spending_Data!F2:F16)</f>
        <v/>
      </c>
      <c r="D3" s="3">
        <f>B3-C3</f>
        <v/>
      </c>
    </row>
    <row r="4">
      <c r="A4" t="inlineStr">
        <is>
          <t>Average Food Spend</t>
        </is>
      </c>
      <c r="B4" s="3">
        <f>AVERAGEIF(Rural_Spending_Data!D2:D16,"Rural",Rural_Spending_Data!G2:G16)</f>
        <v/>
      </c>
      <c r="C4" s="3">
        <f>AVERAGEIF(Rural_Spending_Data!D2:D16,"Urban",Rural_Spending_Data!G2:G16)</f>
        <v/>
      </c>
      <c r="D4" s="3">
        <f>B4-C4</f>
        <v/>
      </c>
    </row>
    <row r="5">
      <c r="A5" t="inlineStr">
        <is>
          <t>Average Clothing Spend</t>
        </is>
      </c>
      <c r="B5" s="3">
        <f>AVERAGEIF(Rural_Spending_Data!D2:D16,"Rural",Rural_Spending_Data!H2:H16)</f>
        <v/>
      </c>
      <c r="C5" s="3">
        <f>AVERAGEIF(Rural_Spending_Data!D2:D16,"Urban",Rural_Spending_Data!H2:H16)</f>
        <v/>
      </c>
      <c r="D5" s="3">
        <f>B5-C5</f>
        <v/>
      </c>
    </row>
    <row r="6">
      <c r="A6" t="inlineStr">
        <is>
          <t>Average Transport Spend</t>
        </is>
      </c>
      <c r="B6" s="3">
        <f>AVERAGEIF(Rural_Spending_Data!D2:D16,"Rural",Rural_Spending_Data!I2:I16)</f>
        <v/>
      </c>
      <c r="C6" s="3">
        <f>AVERAGEIF(Rural_Spending_Data!D2:D16,"Urban",Rural_Spending_Data!I2:I16)</f>
        <v/>
      </c>
      <c r="D6" s="3">
        <f>B6-C6</f>
        <v/>
      </c>
    </row>
    <row r="7">
      <c r="A7" t="inlineStr">
        <is>
          <t>Average Healthcare Spend</t>
        </is>
      </c>
      <c r="B7" s="3">
        <f>AVERAGEIF(Rural_Spending_Data!D2:D16,"Rural",Rural_Spending_Data!J2:J16)</f>
        <v/>
      </c>
      <c r="C7" s="3">
        <f>AVERAGEIF(Rural_Spending_Data!D2:D16,"Urban",Rural_Spending_Data!J2:J16)</f>
        <v/>
      </c>
      <c r="D7" s="3">
        <f>B7-C7</f>
        <v/>
      </c>
    </row>
    <row r="8">
      <c r="A8" t="inlineStr">
        <is>
          <t>Average Education Spend</t>
        </is>
      </c>
      <c r="B8" s="3">
        <f>AVERAGEIF(Rural_Spending_Data!D2:D16,"Rural",Rural_Spending_Data!K2:K16)</f>
        <v/>
      </c>
      <c r="C8" s="3">
        <f>AVERAGEIF(Rural_Spending_Data!D2:D16,"Urban",Rural_Spending_Data!K2:K16)</f>
        <v/>
      </c>
      <c r="D8" s="3">
        <f>B8-C8</f>
        <v/>
      </c>
    </row>
    <row r="9">
      <c r="A9" t="inlineStr">
        <is>
          <t>Average Total Spending</t>
        </is>
      </c>
      <c r="B9" s="3">
        <f>AVERAGEIF(Rural_Spending_Data!D2:D16,"Rural",Rural_Spending_Data!L2:L16)</f>
        <v/>
      </c>
      <c r="C9" s="3">
        <f>AVERAGEIF(Rural_Spending_Data!D2:D16,"Urban",Rural_Spending_Data!L2:L16)</f>
        <v/>
      </c>
      <c r="D9" s="3">
        <f>B9-C9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Age_Group</t>
        </is>
      </c>
      <c r="B1" s="1" t="inlineStr">
        <is>
          <t>Rural_Count</t>
        </is>
      </c>
      <c r="C1" s="1" t="inlineStr">
        <is>
          <t>Avg_Income</t>
        </is>
      </c>
      <c r="D1" s="1" t="inlineStr">
        <is>
          <t>Avg_Total_Spending</t>
        </is>
      </c>
    </row>
    <row r="2">
      <c r="A2" t="inlineStr">
        <is>
          <t>18-25</t>
        </is>
      </c>
      <c r="B2">
        <f>COUNTIFS(Rural_Spending_Data!D2:D16,"Rural",Rural_Spending_Data!B2:B16,A2)</f>
        <v/>
      </c>
      <c r="C2" s="3">
        <f>AVERAGEIFS(Rural_Spending_Data!F2:F16,Rural_Spending_Data!D2:D16,"Rural",Rural_Spending_Data!B2:B16,A2)</f>
        <v/>
      </c>
      <c r="D2" s="3">
        <f>AVERAGEIFS(Rural_Spending_Data!L2:L16,Rural_Spending_Data!D2:D16,"Rural",Rural_Spending_Data!B2:B16,A2)</f>
        <v/>
      </c>
    </row>
    <row r="3">
      <c r="A3" t="inlineStr">
        <is>
          <t>26-35</t>
        </is>
      </c>
      <c r="B3">
        <f>COUNTIFS(Rural_Spending_Data!D2:D16,"Rural",Rural_Spending_Data!B2:B16,A3)</f>
        <v/>
      </c>
      <c r="C3" s="3">
        <f>AVERAGEIFS(Rural_Spending_Data!F2:F16,Rural_Spending_Data!D2:D16,"Rural",Rural_Spending_Data!B2:B16,A3)</f>
        <v/>
      </c>
      <c r="D3" s="3">
        <f>AVERAGEIFS(Rural_Spending_Data!L2:L16,Rural_Spending_Data!D2:D16,"Rural",Rural_Spending_Data!B2:B16,A3)</f>
        <v/>
      </c>
    </row>
    <row r="4">
      <c r="A4" t="inlineStr">
        <is>
          <t>36-45</t>
        </is>
      </c>
      <c r="B4">
        <f>COUNTIFS(Rural_Spending_Data!D2:D16,"Rural",Rural_Spending_Data!B2:B16,A4)</f>
        <v/>
      </c>
      <c r="C4" s="3">
        <f>AVERAGEIFS(Rural_Spending_Data!F2:F16,Rural_Spending_Data!D2:D16,"Rural",Rural_Spending_Data!B2:B16,A4)</f>
        <v/>
      </c>
      <c r="D4" s="3">
        <f>AVERAGEIFS(Rural_Spending_Data!L2:L16,Rural_Spending_Data!D2:D16,"Rural",Rural_Spending_Data!B2:B16,A4)</f>
        <v/>
      </c>
    </row>
    <row r="5">
      <c r="A5" t="inlineStr">
        <is>
          <t>46-55</t>
        </is>
      </c>
      <c r="B5">
        <f>COUNTIFS(Rural_Spending_Data!D2:D16,"Rural",Rural_Spending_Data!B2:B16,A5)</f>
        <v/>
      </c>
      <c r="C5" s="3">
        <f>AVERAGEIFS(Rural_Spending_Data!F2:F16,Rural_Spending_Data!D2:D16,"Rural",Rural_Spending_Data!B2:B16,A5)</f>
        <v/>
      </c>
      <c r="D5" s="3">
        <f>AVERAGEIFS(Rural_Spending_Data!L2:L16,Rural_Spending_Data!D2:D16,"Rural",Rural_Spending_Data!B2:B16,A5)</f>
        <v/>
      </c>
    </row>
    <row r="6">
      <c r="A6" t="inlineStr">
        <is>
          <t>56+</t>
        </is>
      </c>
      <c r="B6">
        <f>COUNTIFS(Rural_Spending_Data!D2:D16,"Rural",Rural_Spending_Data!B2:B16,A6)</f>
        <v/>
      </c>
      <c r="C6" s="3">
        <f>AVERAGEIFS(Rural_Spending_Data!F2:F16,Rural_Spending_Data!D2:D16,"Rural",Rural_Spending_Data!B2:B16,A6)</f>
        <v/>
      </c>
      <c r="D6" s="3">
        <f>AVERAGEIFS(Rural_Spending_Data!L2:L16,Rural_Spending_Data!D2:D16,"Rural",Rural_Spending_Data!B2:B16,A6)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20" customWidth="1" min="4" max="4"/>
  </cols>
  <sheetData>
    <row r="1">
      <c r="A1" s="1" t="inlineStr">
        <is>
          <t>Category</t>
        </is>
      </c>
      <c r="B1" s="1" t="inlineStr">
        <is>
          <t>Rural_Average</t>
        </is>
      </c>
      <c r="C1" s="1" t="inlineStr">
        <is>
          <t>Urban_Average</t>
        </is>
      </c>
      <c r="D1" s="1" t="inlineStr">
        <is>
          <t>Rural_Share</t>
        </is>
      </c>
    </row>
    <row r="2">
      <c r="A2" t="inlineStr">
        <is>
          <t>Food</t>
        </is>
      </c>
      <c r="B2" s="3">
        <f>AVERAGEIF(Rural_Spending_Data!D2:D16,"Rural",Rural_Spending_Data!G2:G16)</f>
        <v/>
      </c>
      <c r="C2" s="3">
        <f>AVERAGEIF(Rural_Spending_Data!D2:D16,"Urban",Rural_Spending_Data!G2:G16)</f>
        <v/>
      </c>
      <c r="D2" s="4">
        <f>B2/SUM($B$2:$B$6)</f>
        <v/>
      </c>
    </row>
    <row r="3">
      <c r="A3" t="inlineStr">
        <is>
          <t>Clothing</t>
        </is>
      </c>
      <c r="B3" s="3">
        <f>AVERAGEIF(Rural_Spending_Data!D2:D16,"Rural",Rural_Spending_Data!H2:H16)</f>
        <v/>
      </c>
      <c r="C3" s="3">
        <f>AVERAGEIF(Rural_Spending_Data!D2:D16,"Urban",Rural_Spending_Data!H2:H16)</f>
        <v/>
      </c>
      <c r="D3" s="4">
        <f>B3/SUM($B$2:$B$6)</f>
        <v/>
      </c>
    </row>
    <row r="4">
      <c r="A4" t="inlineStr">
        <is>
          <t>Transport</t>
        </is>
      </c>
      <c r="B4" s="3">
        <f>AVERAGEIF(Rural_Spending_Data!D2:D16,"Rural",Rural_Spending_Data!I2:I16)</f>
        <v/>
      </c>
      <c r="C4" s="3">
        <f>AVERAGEIF(Rural_Spending_Data!D2:D16,"Urban",Rural_Spending_Data!I2:I16)</f>
        <v/>
      </c>
      <c r="D4" s="4">
        <f>B4/SUM($B$2:$B$6)</f>
        <v/>
      </c>
    </row>
    <row r="5">
      <c r="A5" t="inlineStr">
        <is>
          <t>Healthcare</t>
        </is>
      </c>
      <c r="B5" s="3">
        <f>AVERAGEIF(Rural_Spending_Data!D2:D16,"Rural",Rural_Spending_Data!J2:J16)</f>
        <v/>
      </c>
      <c r="C5" s="3">
        <f>AVERAGEIF(Rural_Spending_Data!D2:D16,"Urban",Rural_Spending_Data!J2:J16)</f>
        <v/>
      </c>
      <c r="D5" s="4">
        <f>B5/SUM($B$2:$B$6)</f>
        <v/>
      </c>
    </row>
    <row r="6">
      <c r="A6" t="inlineStr">
        <is>
          <t>Education</t>
        </is>
      </c>
      <c r="B6" s="3">
        <f>AVERAGEIF(Rural_Spending_Data!D2:D16,"Rural",Rural_Spending_Data!K2:K16)</f>
        <v/>
      </c>
      <c r="C6" s="3">
        <f>AVERAGEIF(Rural_Spending_Data!D2:D16,"Urban",Rural_Spending_Data!K2:K16)</f>
        <v/>
      </c>
      <c r="D6" s="4">
        <f>B6/SUM($B$2:$B$6)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8" customWidth="1" min="3" max="3"/>
  </cols>
  <sheetData>
    <row r="1">
      <c r="A1" s="1" t="inlineStr">
        <is>
          <t>Insight_Area</t>
        </is>
      </c>
      <c r="B1" s="1" t="inlineStr">
        <is>
          <t>Question</t>
        </is>
      </c>
      <c r="C1" s="1" t="inlineStr">
        <is>
          <t>Your_Observation</t>
        </is>
      </c>
    </row>
    <row r="2">
      <c r="A2" t="inlineStr">
        <is>
          <t>Rural spending</t>
        </is>
      </c>
      <c r="B2" t="inlineStr">
        <is>
          <t>Which category has the highest rural average?</t>
        </is>
      </c>
      <c r="C2" t="inlineStr"/>
    </row>
    <row r="3">
      <c r="A3" t="inlineStr">
        <is>
          <t>Income</t>
        </is>
      </c>
      <c r="B3" t="inlineStr">
        <is>
          <t>How does rural average income compare with urban?</t>
        </is>
      </c>
      <c r="C3" t="inlineStr"/>
    </row>
    <row r="4">
      <c r="A4" t="inlineStr">
        <is>
          <t>Age group</t>
        </is>
      </c>
      <c r="B4" t="inlineStr">
        <is>
          <t>Which rural age group has the highest average total spending?</t>
        </is>
      </c>
      <c r="C4" t="inlineStr"/>
    </row>
    <row r="5">
      <c r="A5" t="inlineStr">
        <is>
          <t>Household size</t>
        </is>
      </c>
      <c r="B5" t="inlineStr">
        <is>
          <t>Does household size appear related to total spending?</t>
        </is>
      </c>
      <c r="C5" t="inlineStr"/>
    </row>
    <row r="6">
      <c r="A6" t="inlineStr">
        <is>
          <t>Business implication</t>
        </is>
      </c>
      <c r="B6" t="inlineStr">
        <is>
          <t>What business opportunity can be inferred from the rural data?</t>
        </is>
      </c>
      <c r="C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7" customWidth="1" min="3" max="3"/>
  </cols>
  <sheetData>
    <row r="1">
      <c r="A1" s="1" t="inlineStr">
        <is>
          <t>Task_No</t>
        </is>
      </c>
      <c r="B1" s="1" t="inlineStr">
        <is>
          <t>Practice_Task</t>
        </is>
      </c>
      <c r="C1" s="1" t="inlineStr">
        <is>
          <t>Expected_Output</t>
        </is>
      </c>
    </row>
    <row r="2">
      <c r="A2" t="n">
        <v>1</v>
      </c>
      <c r="B2" t="inlineStr">
        <is>
          <t>Calculate average rural food spending.</t>
        </is>
      </c>
      <c r="C2" t="inlineStr">
        <is>
          <t>Numeric value</t>
        </is>
      </c>
    </row>
    <row r="3">
      <c r="A3" t="n">
        <v>2</v>
      </c>
      <c r="B3" t="inlineStr">
        <is>
          <t>Calculate average rural total spending.</t>
        </is>
      </c>
      <c r="C3" t="inlineStr">
        <is>
          <t>Numeric value</t>
        </is>
      </c>
    </row>
    <row r="4">
      <c r="A4" t="n">
        <v>3</v>
      </c>
      <c r="B4" t="inlineStr">
        <is>
          <t>Compare rural and urban transport spending.</t>
        </is>
      </c>
      <c r="C4" t="inlineStr">
        <is>
          <t>Difference</t>
        </is>
      </c>
    </row>
    <row r="5">
      <c r="A5" t="n">
        <v>4</v>
      </c>
      <c r="B5" t="inlineStr">
        <is>
          <t>Find the rural age group with highest average total spending.</t>
        </is>
      </c>
      <c r="C5" t="inlineStr">
        <is>
          <t>Age group</t>
        </is>
      </c>
    </row>
    <row r="6">
      <c r="A6" t="n">
        <v>5</v>
      </c>
      <c r="B6" t="inlineStr">
        <is>
          <t>Calculate each rural category's share of average rural spending.</t>
        </is>
      </c>
      <c r="C6" t="inlineStr">
        <is>
          <t>Percentage</t>
        </is>
      </c>
    </row>
    <row r="7">
      <c r="A7" t="n">
        <v>6</v>
      </c>
      <c r="B7" t="inlineStr">
        <is>
          <t>Write 3 business insights from the dataset.</t>
        </is>
      </c>
      <c r="C7" t="inlineStr">
        <is>
          <t>3 insights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</cols>
  <sheetData>
    <row r="1">
      <c r="A1" s="1" t="inlineStr">
        <is>
          <t>Day</t>
        </is>
      </c>
      <c r="B1" s="1" t="inlineStr">
        <is>
          <t>Day 010</t>
        </is>
      </c>
    </row>
    <row r="2">
      <c r="A2" t="inlineStr">
        <is>
          <t>Topic</t>
        </is>
      </c>
      <c r="B2" t="inlineStr">
        <is>
          <t>Analysing Demographic Data Part 2 — Rural Spending and Insights</t>
        </is>
      </c>
    </row>
    <row r="3">
      <c r="A3" t="inlineStr">
        <is>
          <t>Goal</t>
        </is>
      </c>
      <c r="B3" t="inlineStr">
        <is>
          <t>Analyse rural spending patterns and compare them with urban data.</t>
        </is>
      </c>
    </row>
    <row r="4">
      <c r="A4" t="inlineStr">
        <is>
          <t>Step 1</t>
        </is>
      </c>
      <c r="B4" t="inlineStr">
        <is>
          <t>Review Rural_Spending_Data and understand each variable.</t>
        </is>
      </c>
    </row>
    <row r="5">
      <c r="A5" t="inlineStr">
        <is>
          <t>Step 2</t>
        </is>
      </c>
      <c r="B5" t="inlineStr">
        <is>
          <t>Use Rural_Analysis for rural vs urban comparison.</t>
        </is>
      </c>
    </row>
    <row r="6">
      <c r="A6" t="inlineStr">
        <is>
          <t>Step 3</t>
        </is>
      </c>
      <c r="B6" t="inlineStr">
        <is>
          <t>Use Rural_Age_Analysis for age-group analysis.</t>
        </is>
      </c>
    </row>
    <row r="7">
      <c r="A7" t="inlineStr">
        <is>
          <t>Step 4</t>
        </is>
      </c>
      <c r="B7" t="inlineStr">
        <is>
          <t>Use Spending_Summary for category analysis.</t>
        </is>
      </c>
    </row>
    <row r="8">
      <c r="A8" t="inlineStr">
        <is>
          <t>Step 5</t>
        </is>
      </c>
      <c r="B8" t="inlineStr">
        <is>
          <t>Write observations in Insights.</t>
        </is>
      </c>
    </row>
    <row r="9">
      <c r="A9" t="inlineStr">
        <is>
          <t>Step 6</t>
        </is>
      </c>
      <c r="B9" t="inlineStr">
        <is>
          <t>Complete Practice independently.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2026-09-14T16:14:42Z</dcterms:created>
  <dcterms:modified xmlns:dcterms="http://purl.org/dc/terms/" xmlns:xsi="http://www.w3.org/2001/XMLSchema-instance" xsi:type="dcterms:W3CDTF">2026-09-14T16:14:42Z</dcterms:modified>
</cp:coreProperties>
</file>