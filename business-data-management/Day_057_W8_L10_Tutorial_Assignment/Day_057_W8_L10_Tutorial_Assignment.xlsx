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_Data" sheetId="1" state="visible" r:id="rId1"/>
    <sheet xmlns:r="http://schemas.openxmlformats.org/officeDocument/2006/relationships" name="Assignment_Tasks" sheetId="2" state="visible" r:id="rId2"/>
    <sheet xmlns:r="http://schemas.openxmlformats.org/officeDocument/2006/relationships" name="Answer_Key" sheetId="3" state="visible" r:id="rId3"/>
    <sheet xmlns:r="http://schemas.openxmlformats.org/officeDocument/2006/relationships" name="Material_Analysis" sheetId="4" state="visible" r:id="rId4"/>
    <sheet xmlns:r="http://schemas.openxmlformats.org/officeDocument/2006/relationships" name="Monthly_Analysis" sheetId="5" state="visible" r:id="rId5"/>
    <sheet xmlns:r="http://schemas.openxmlformats.org/officeDocument/2006/relationships" name="Regional_Analysis" sheetId="6" state="visible" r:id="rId6"/>
    <sheet xmlns:r="http://schemas.openxmlformats.org/officeDocument/2006/relationships" name="Stock_Status" sheetId="7" state="visible" r:id="rId7"/>
    <sheet xmlns:r="http://schemas.openxmlformats.org/officeDocument/2006/relationships" name="Assignment_Working" sheetId="8" state="visible" r:id="rId8"/>
    <sheet xmlns:r="http://schemas.openxmlformats.org/officeDocument/2006/relationships" name="Submission_Checklist" sheetId="9" state="visible" r:id="rId9"/>
    <sheet xmlns:r="http://schemas.openxmlformats.org/officeDocument/2006/relationships" name="Tutorial_Assignment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Material Usage by Raw Material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'Material_Analysis'!$A$3:$A$5</f>
            </numRef>
          </cat>
          <val>
            <numRef>
              <f>'Material_Analysis'!$C$3:$C$5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Raw Material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Material Usage</a:t>
            </a:r>
          </a:p>
        </rich>
      </tx>
    </title>
    <plotArea>
      <lineChart>
        <grouping val="standard"/>
        <ser>
          <idx val="0"/>
          <order val="0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'Monthly_Analysis'!$A$3:$A$8</f>
            </numRef>
          </cat>
          <val>
            <numRef>
              <f>'Monthly_Analysis'!$C$3:$C$8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Inventory Value by Raw Material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'Material_Analysis'!$A$3:$A$5</f>
            </numRef>
          </cat>
          <val>
            <numRef>
              <f>'Material_Analysis'!$E$3:$E$5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Raw Material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Average Closing Inventory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'Regional_Analysis'!$A$3:$A$5</f>
            </numRef>
          </cat>
          <val>
            <numRef>
              <f>'Regional_Analysis'!$D$3:$D$5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9" customWidth="1" min="5" max="5"/>
    <col width="12" customWidth="1" min="6" max="6"/>
    <col width="16" customWidth="1" min="7" max="7"/>
    <col width="19" customWidth="1" min="8" max="8"/>
    <col width="12" customWidth="1" min="9" max="9"/>
    <col width="17" customWidth="1" min="10" max="10"/>
    <col width="16" customWidth="1" min="11" max="11"/>
    <col width="19" customWidth="1" min="12" max="12"/>
    <col width="18" customWidth="1" min="13" max="13"/>
    <col width="14" customWidth="1" min="14" max="14"/>
    <col width="15" customWidth="1" min="15" max="15"/>
    <col width="15" customWidth="1" min="16" max="16"/>
    <col width="21" customWidth="1" min="17" max="17"/>
  </cols>
  <sheetData>
    <row r="1">
      <c r="A1" s="1" t="inlineStr">
        <is>
          <t>Illustrative Tutorial Assignment Dataset</t>
        </is>
      </c>
    </row>
    <row r="2"/>
    <row r="3">
      <c r="A3" s="2" t="inlineStr">
        <is>
          <t>Record_ID</t>
        </is>
      </c>
      <c r="B3" s="2" t="inlineStr">
        <is>
          <t>Month</t>
        </is>
      </c>
      <c r="C3" s="2" t="inlineStr">
        <is>
          <t>Raw_Material</t>
        </is>
      </c>
      <c r="D3" s="2" t="inlineStr">
        <is>
          <t>Region</t>
        </is>
      </c>
      <c r="E3" s="2" t="inlineStr">
        <is>
          <t>Opening_Inventory</t>
        </is>
      </c>
      <c r="F3" s="2" t="inlineStr">
        <is>
          <t>Purchases</t>
        </is>
      </c>
      <c r="G3" s="2" t="inlineStr">
        <is>
          <t>Material_Usage</t>
        </is>
      </c>
      <c r="H3" s="2" t="inlineStr">
        <is>
          <t>Closing_Inventory</t>
        </is>
      </c>
      <c r="I3" s="2" t="inlineStr">
        <is>
          <t>Unit_Cost</t>
        </is>
      </c>
      <c r="J3" s="2" t="inlineStr">
        <is>
          <t>Inventory_Value</t>
        </is>
      </c>
      <c r="K3" s="2" t="inlineStr">
        <is>
          <t>Lead_Time_Days</t>
        </is>
      </c>
      <c r="L3" s="2" t="inlineStr">
        <is>
          <t>Safety_Stock_Days</t>
        </is>
      </c>
      <c r="M3" s="2" t="inlineStr">
        <is>
          <t>Lead_Time_Demand</t>
        </is>
      </c>
      <c r="N3" s="2" t="inlineStr">
        <is>
          <t>Safety_Stock</t>
        </is>
      </c>
      <c r="O3" s="2" t="inlineStr">
        <is>
          <t>Reorder_Point</t>
        </is>
      </c>
      <c r="P3" s="2" t="inlineStr">
        <is>
          <t>Inventory_Gap</t>
        </is>
      </c>
      <c r="Q3" s="2" t="inlineStr">
        <is>
          <t>Stock_Status</t>
        </is>
      </c>
    </row>
    <row r="4">
      <c r="A4" t="n">
        <v>1</v>
      </c>
      <c r="B4" t="inlineStr">
        <is>
          <t>Jan-2023</t>
        </is>
      </c>
      <c r="C4" t="inlineStr">
        <is>
          <t>Steel</t>
        </is>
      </c>
      <c r="D4" t="inlineStr">
        <is>
          <t>North</t>
        </is>
      </c>
      <c r="E4" t="n">
        <v>288</v>
      </c>
      <c r="F4" t="n">
        <v>400</v>
      </c>
      <c r="G4" t="n">
        <v>350</v>
      </c>
      <c r="H4" t="n">
        <v>338</v>
      </c>
      <c r="I4" t="n">
        <v>38</v>
      </c>
      <c r="J4" t="n">
        <v>12844</v>
      </c>
      <c r="K4" t="n">
        <v>42</v>
      </c>
      <c r="L4" t="n">
        <v>12</v>
      </c>
      <c r="M4" t="n">
        <v>490</v>
      </c>
      <c r="N4" t="n">
        <v>140</v>
      </c>
      <c r="O4" t="n">
        <v>630</v>
      </c>
      <c r="P4" t="n">
        <v>-292</v>
      </c>
      <c r="Q4" t="inlineStr">
        <is>
          <t>Below Reorder Point</t>
        </is>
      </c>
    </row>
    <row r="5">
      <c r="A5" t="n">
        <v>2</v>
      </c>
      <c r="B5" t="inlineStr">
        <is>
          <t>Jan-2023</t>
        </is>
      </c>
      <c r="C5" t="inlineStr">
        <is>
          <t>Steel</t>
        </is>
      </c>
      <c r="D5" t="inlineStr">
        <is>
          <t>South</t>
        </is>
      </c>
      <c r="E5" t="n">
        <v>271</v>
      </c>
      <c r="F5" t="n">
        <v>376</v>
      </c>
      <c r="G5" t="n">
        <v>329</v>
      </c>
      <c r="H5" t="n">
        <v>318</v>
      </c>
      <c r="I5" t="n">
        <v>38</v>
      </c>
      <c r="J5" t="n">
        <v>12084</v>
      </c>
      <c r="K5" t="n">
        <v>42</v>
      </c>
      <c r="L5" t="n">
        <v>12</v>
      </c>
      <c r="M5" t="n">
        <v>461</v>
      </c>
      <c r="N5" t="n">
        <v>132</v>
      </c>
      <c r="O5" t="n">
        <v>593</v>
      </c>
      <c r="P5" t="n">
        <v>-275</v>
      </c>
      <c r="Q5" t="inlineStr">
        <is>
          <t>Below Reorder Point</t>
        </is>
      </c>
    </row>
    <row r="6">
      <c r="A6" t="n">
        <v>3</v>
      </c>
      <c r="B6" t="inlineStr">
        <is>
          <t>Jan-2023</t>
        </is>
      </c>
      <c r="C6" t="inlineStr">
        <is>
          <t>Steel</t>
        </is>
      </c>
      <c r="D6" t="inlineStr">
        <is>
          <t>West</t>
        </is>
      </c>
      <c r="E6" t="n">
        <v>311</v>
      </c>
      <c r="F6" t="n">
        <v>432</v>
      </c>
      <c r="G6" t="n">
        <v>378</v>
      </c>
      <c r="H6" t="n">
        <v>365</v>
      </c>
      <c r="I6" t="n">
        <v>38</v>
      </c>
      <c r="J6" t="n">
        <v>13870</v>
      </c>
      <c r="K6" t="n">
        <v>42</v>
      </c>
      <c r="L6" t="n">
        <v>12</v>
      </c>
      <c r="M6" t="n">
        <v>529</v>
      </c>
      <c r="N6" t="n">
        <v>151</v>
      </c>
      <c r="O6" t="n">
        <v>680</v>
      </c>
      <c r="P6" t="n">
        <v>-315</v>
      </c>
      <c r="Q6" t="inlineStr">
        <is>
          <t>Below Reorder Point</t>
        </is>
      </c>
    </row>
    <row r="7">
      <c r="A7" t="n">
        <v>4</v>
      </c>
      <c r="B7" t="inlineStr">
        <is>
          <t>Jan-2023</t>
        </is>
      </c>
      <c r="C7" t="inlineStr">
        <is>
          <t>Aluminium</t>
        </is>
      </c>
      <c r="D7" t="inlineStr">
        <is>
          <t>North</t>
        </is>
      </c>
      <c r="E7" t="n">
        <v>216</v>
      </c>
      <c r="F7" t="n">
        <v>300</v>
      </c>
      <c r="G7" t="n">
        <v>260</v>
      </c>
      <c r="H7" t="n">
        <v>256</v>
      </c>
      <c r="I7" t="n">
        <v>55</v>
      </c>
      <c r="J7" t="n">
        <v>14080</v>
      </c>
      <c r="K7" t="n">
        <v>35</v>
      </c>
      <c r="L7" t="n">
        <v>10</v>
      </c>
      <c r="M7" t="n">
        <v>303</v>
      </c>
      <c r="N7" t="n">
        <v>87</v>
      </c>
      <c r="O7" t="n">
        <v>390</v>
      </c>
      <c r="P7" t="n">
        <v>-134</v>
      </c>
      <c r="Q7" t="inlineStr">
        <is>
          <t>Below Reorder Point</t>
        </is>
      </c>
    </row>
    <row r="8">
      <c r="A8" t="n">
        <v>5</v>
      </c>
      <c r="B8" t="inlineStr">
        <is>
          <t>Jan-2023</t>
        </is>
      </c>
      <c r="C8" t="inlineStr">
        <is>
          <t>Aluminium</t>
        </is>
      </c>
      <c r="D8" t="inlineStr">
        <is>
          <t>South</t>
        </is>
      </c>
      <c r="E8" t="n">
        <v>203</v>
      </c>
      <c r="F8" t="n">
        <v>282</v>
      </c>
      <c r="G8" t="n">
        <v>244</v>
      </c>
      <c r="H8" t="n">
        <v>241</v>
      </c>
      <c r="I8" t="n">
        <v>55</v>
      </c>
      <c r="J8" t="n">
        <v>13255</v>
      </c>
      <c r="K8" t="n">
        <v>35</v>
      </c>
      <c r="L8" t="n">
        <v>10</v>
      </c>
      <c r="M8" t="n">
        <v>285</v>
      </c>
      <c r="N8" t="n">
        <v>81</v>
      </c>
      <c r="O8" t="n">
        <v>366</v>
      </c>
      <c r="P8" t="n">
        <v>-125</v>
      </c>
      <c r="Q8" t="inlineStr">
        <is>
          <t>Below Reorder Point</t>
        </is>
      </c>
    </row>
    <row r="9">
      <c r="A9" t="n">
        <v>6</v>
      </c>
      <c r="B9" t="inlineStr">
        <is>
          <t>Jan-2023</t>
        </is>
      </c>
      <c r="C9" t="inlineStr">
        <is>
          <t>Aluminium</t>
        </is>
      </c>
      <c r="D9" t="inlineStr">
        <is>
          <t>West</t>
        </is>
      </c>
      <c r="E9" t="n">
        <v>233</v>
      </c>
      <c r="F9" t="n">
        <v>324</v>
      </c>
      <c r="G9" t="n">
        <v>281</v>
      </c>
      <c r="H9" t="n">
        <v>276</v>
      </c>
      <c r="I9" t="n">
        <v>55</v>
      </c>
      <c r="J9" t="n">
        <v>15180</v>
      </c>
      <c r="K9" t="n">
        <v>35</v>
      </c>
      <c r="L9" t="n">
        <v>10</v>
      </c>
      <c r="M9" t="n">
        <v>328</v>
      </c>
      <c r="N9" t="n">
        <v>94</v>
      </c>
      <c r="O9" t="n">
        <v>422</v>
      </c>
      <c r="P9" t="n">
        <v>-146</v>
      </c>
      <c r="Q9" t="inlineStr">
        <is>
          <t>Below Reorder Point</t>
        </is>
      </c>
    </row>
    <row r="10">
      <c r="A10" t="n">
        <v>7</v>
      </c>
      <c r="B10" t="inlineStr">
        <is>
          <t>Jan-2023</t>
        </is>
      </c>
      <c r="C10" t="inlineStr">
        <is>
          <t>Copper</t>
        </is>
      </c>
      <c r="D10" t="inlineStr">
        <is>
          <t>North</t>
        </is>
      </c>
      <c r="E10" t="n">
        <v>156</v>
      </c>
      <c r="F10" t="n">
        <v>217</v>
      </c>
      <c r="G10" t="n">
        <v>190</v>
      </c>
      <c r="H10" t="n">
        <v>183</v>
      </c>
      <c r="I10" t="n">
        <v>72</v>
      </c>
      <c r="J10" t="n">
        <v>13176</v>
      </c>
      <c r="K10" t="n">
        <v>28</v>
      </c>
      <c r="L10" t="n">
        <v>8</v>
      </c>
      <c r="M10" t="n">
        <v>177</v>
      </c>
      <c r="N10" t="n">
        <v>51</v>
      </c>
      <c r="O10" t="n">
        <v>228</v>
      </c>
      <c r="P10" t="n">
        <v>-45</v>
      </c>
      <c r="Q10" t="inlineStr">
        <is>
          <t>Below Reorder Point</t>
        </is>
      </c>
    </row>
    <row r="11">
      <c r="A11" t="n">
        <v>8</v>
      </c>
      <c r="B11" t="inlineStr">
        <is>
          <t>Jan-2023</t>
        </is>
      </c>
      <c r="C11" t="inlineStr">
        <is>
          <t>Copper</t>
        </is>
      </c>
      <c r="D11" t="inlineStr">
        <is>
          <t>South</t>
        </is>
      </c>
      <c r="E11" t="n">
        <v>147</v>
      </c>
      <c r="F11" t="n">
        <v>204</v>
      </c>
      <c r="G11" t="n">
        <v>179</v>
      </c>
      <c r="H11" t="n">
        <v>172</v>
      </c>
      <c r="I11" t="n">
        <v>72</v>
      </c>
      <c r="J11" t="n">
        <v>12384</v>
      </c>
      <c r="K11" t="n">
        <v>28</v>
      </c>
      <c r="L11" t="n">
        <v>8</v>
      </c>
      <c r="M11" t="n">
        <v>167</v>
      </c>
      <c r="N11" t="n">
        <v>48</v>
      </c>
      <c r="O11" t="n">
        <v>215</v>
      </c>
      <c r="P11" t="n">
        <v>-43</v>
      </c>
      <c r="Q11" t="inlineStr">
        <is>
          <t>Below Reorder Point</t>
        </is>
      </c>
    </row>
    <row r="12">
      <c r="A12" t="n">
        <v>9</v>
      </c>
      <c r="B12" t="inlineStr">
        <is>
          <t>Jan-2023</t>
        </is>
      </c>
      <c r="C12" t="inlineStr">
        <is>
          <t>Copper</t>
        </is>
      </c>
      <c r="D12" t="inlineStr">
        <is>
          <t>West</t>
        </is>
      </c>
      <c r="E12" t="n">
        <v>168</v>
      </c>
      <c r="F12" t="n">
        <v>234</v>
      </c>
      <c r="G12" t="n">
        <v>205</v>
      </c>
      <c r="H12" t="n">
        <v>197</v>
      </c>
      <c r="I12" t="n">
        <v>72</v>
      </c>
      <c r="J12" t="n">
        <v>14184</v>
      </c>
      <c r="K12" t="n">
        <v>28</v>
      </c>
      <c r="L12" t="n">
        <v>8</v>
      </c>
      <c r="M12" t="n">
        <v>191</v>
      </c>
      <c r="N12" t="n">
        <v>55</v>
      </c>
      <c r="O12" t="n">
        <v>246</v>
      </c>
      <c r="P12" t="n">
        <v>-49</v>
      </c>
      <c r="Q12" t="inlineStr">
        <is>
          <t>Below Reorder Point</t>
        </is>
      </c>
    </row>
    <row r="13">
      <c r="A13" t="n">
        <v>10</v>
      </c>
      <c r="B13" t="inlineStr">
        <is>
          <t>Feb-2023</t>
        </is>
      </c>
      <c r="C13" t="inlineStr">
        <is>
          <t>Steel</t>
        </is>
      </c>
      <c r="D13" t="inlineStr">
        <is>
          <t>North</t>
        </is>
      </c>
      <c r="E13" t="n">
        <v>288</v>
      </c>
      <c r="F13" t="n">
        <v>416</v>
      </c>
      <c r="G13" t="n">
        <v>364</v>
      </c>
      <c r="H13" t="n">
        <v>340</v>
      </c>
      <c r="I13" t="n">
        <v>38</v>
      </c>
      <c r="J13" t="n">
        <v>12920</v>
      </c>
      <c r="K13" t="n">
        <v>42</v>
      </c>
      <c r="L13" t="n">
        <v>12</v>
      </c>
      <c r="M13" t="n">
        <v>510</v>
      </c>
      <c r="N13" t="n">
        <v>146</v>
      </c>
      <c r="O13" t="n">
        <v>656</v>
      </c>
      <c r="P13" t="n">
        <v>-316</v>
      </c>
      <c r="Q13" t="inlineStr">
        <is>
          <t>Below Reorder Point</t>
        </is>
      </c>
    </row>
    <row r="14">
      <c r="A14" t="n">
        <v>11</v>
      </c>
      <c r="B14" t="inlineStr">
        <is>
          <t>Feb-2023</t>
        </is>
      </c>
      <c r="C14" t="inlineStr">
        <is>
          <t>Steel</t>
        </is>
      </c>
      <c r="D14" t="inlineStr">
        <is>
          <t>South</t>
        </is>
      </c>
      <c r="E14" t="n">
        <v>271</v>
      </c>
      <c r="F14" t="n">
        <v>391</v>
      </c>
      <c r="G14" t="n">
        <v>342</v>
      </c>
      <c r="H14" t="n">
        <v>320</v>
      </c>
      <c r="I14" t="n">
        <v>38</v>
      </c>
      <c r="J14" t="n">
        <v>12160</v>
      </c>
      <c r="K14" t="n">
        <v>42</v>
      </c>
      <c r="L14" t="n">
        <v>12</v>
      </c>
      <c r="M14" t="n">
        <v>479</v>
      </c>
      <c r="N14" t="n">
        <v>137</v>
      </c>
      <c r="O14" t="n">
        <v>616</v>
      </c>
      <c r="P14" t="n">
        <v>-296</v>
      </c>
      <c r="Q14" t="inlineStr">
        <is>
          <t>Below Reorder Point</t>
        </is>
      </c>
    </row>
    <row r="15">
      <c r="A15" t="n">
        <v>12</v>
      </c>
      <c r="B15" t="inlineStr">
        <is>
          <t>Feb-2023</t>
        </is>
      </c>
      <c r="C15" t="inlineStr">
        <is>
          <t>Steel</t>
        </is>
      </c>
      <c r="D15" t="inlineStr">
        <is>
          <t>West</t>
        </is>
      </c>
      <c r="E15" t="n">
        <v>311</v>
      </c>
      <c r="F15" t="n">
        <v>449</v>
      </c>
      <c r="G15" t="n">
        <v>393</v>
      </c>
      <c r="H15" t="n">
        <v>367</v>
      </c>
      <c r="I15" t="n">
        <v>38</v>
      </c>
      <c r="J15" t="n">
        <v>13946</v>
      </c>
      <c r="K15" t="n">
        <v>42</v>
      </c>
      <c r="L15" t="n">
        <v>12</v>
      </c>
      <c r="M15" t="n">
        <v>550</v>
      </c>
      <c r="N15" t="n">
        <v>157</v>
      </c>
      <c r="O15" t="n">
        <v>707</v>
      </c>
      <c r="P15" t="n">
        <v>-340</v>
      </c>
      <c r="Q15" t="inlineStr">
        <is>
          <t>Below Reorder Point</t>
        </is>
      </c>
    </row>
    <row r="16">
      <c r="A16" t="n">
        <v>13</v>
      </c>
      <c r="B16" t="inlineStr">
        <is>
          <t>Feb-2023</t>
        </is>
      </c>
      <c r="C16" t="inlineStr">
        <is>
          <t>Aluminium</t>
        </is>
      </c>
      <c r="D16" t="inlineStr">
        <is>
          <t>North</t>
        </is>
      </c>
      <c r="E16" t="n">
        <v>216</v>
      </c>
      <c r="F16" t="n">
        <v>312</v>
      </c>
      <c r="G16" t="n">
        <v>270</v>
      </c>
      <c r="H16" t="n">
        <v>258</v>
      </c>
      <c r="I16" t="n">
        <v>55</v>
      </c>
      <c r="J16" t="n">
        <v>14190</v>
      </c>
      <c r="K16" t="n">
        <v>35</v>
      </c>
      <c r="L16" t="n">
        <v>10</v>
      </c>
      <c r="M16" t="n">
        <v>315</v>
      </c>
      <c r="N16" t="n">
        <v>90</v>
      </c>
      <c r="O16" t="n">
        <v>405</v>
      </c>
      <c r="P16" t="n">
        <v>-147</v>
      </c>
      <c r="Q16" t="inlineStr">
        <is>
          <t>Below Reorder Point</t>
        </is>
      </c>
    </row>
    <row r="17">
      <c r="A17" t="n">
        <v>14</v>
      </c>
      <c r="B17" t="inlineStr">
        <is>
          <t>Feb-2023</t>
        </is>
      </c>
      <c r="C17" t="inlineStr">
        <is>
          <t>Aluminium</t>
        </is>
      </c>
      <c r="D17" t="inlineStr">
        <is>
          <t>South</t>
        </is>
      </c>
      <c r="E17" t="n">
        <v>203</v>
      </c>
      <c r="F17" t="n">
        <v>293</v>
      </c>
      <c r="G17" t="n">
        <v>254</v>
      </c>
      <c r="H17" t="n">
        <v>242</v>
      </c>
      <c r="I17" t="n">
        <v>55</v>
      </c>
      <c r="J17" t="n">
        <v>13310</v>
      </c>
      <c r="K17" t="n">
        <v>35</v>
      </c>
      <c r="L17" t="n">
        <v>10</v>
      </c>
      <c r="M17" t="n">
        <v>296</v>
      </c>
      <c r="N17" t="n">
        <v>85</v>
      </c>
      <c r="O17" t="n">
        <v>381</v>
      </c>
      <c r="P17" t="n">
        <v>-139</v>
      </c>
      <c r="Q17" t="inlineStr">
        <is>
          <t>Below Reorder Point</t>
        </is>
      </c>
    </row>
    <row r="18">
      <c r="A18" t="n">
        <v>15</v>
      </c>
      <c r="B18" t="inlineStr">
        <is>
          <t>Feb-2023</t>
        </is>
      </c>
      <c r="C18" t="inlineStr">
        <is>
          <t>Aluminium</t>
        </is>
      </c>
      <c r="D18" t="inlineStr">
        <is>
          <t>West</t>
        </is>
      </c>
      <c r="E18" t="n">
        <v>233</v>
      </c>
      <c r="F18" t="n">
        <v>337</v>
      </c>
      <c r="G18" t="n">
        <v>292</v>
      </c>
      <c r="H18" t="n">
        <v>278</v>
      </c>
      <c r="I18" t="n">
        <v>55</v>
      </c>
      <c r="J18" t="n">
        <v>15290</v>
      </c>
      <c r="K18" t="n">
        <v>35</v>
      </c>
      <c r="L18" t="n">
        <v>10</v>
      </c>
      <c r="M18" t="n">
        <v>341</v>
      </c>
      <c r="N18" t="n">
        <v>97</v>
      </c>
      <c r="O18" t="n">
        <v>438</v>
      </c>
      <c r="P18" t="n">
        <v>-160</v>
      </c>
      <c r="Q18" t="inlineStr">
        <is>
          <t>Below Reorder Point</t>
        </is>
      </c>
    </row>
    <row r="19">
      <c r="A19" t="n">
        <v>16</v>
      </c>
      <c r="B19" t="inlineStr">
        <is>
          <t>Feb-2023</t>
        </is>
      </c>
      <c r="C19" t="inlineStr">
        <is>
          <t>Copper</t>
        </is>
      </c>
      <c r="D19" t="inlineStr">
        <is>
          <t>North</t>
        </is>
      </c>
      <c r="E19" t="n">
        <v>156</v>
      </c>
      <c r="F19" t="n">
        <v>225</v>
      </c>
      <c r="G19" t="n">
        <v>198</v>
      </c>
      <c r="H19" t="n">
        <v>183</v>
      </c>
      <c r="I19" t="n">
        <v>72</v>
      </c>
      <c r="J19" t="n">
        <v>13176</v>
      </c>
      <c r="K19" t="n">
        <v>28</v>
      </c>
      <c r="L19" t="n">
        <v>8</v>
      </c>
      <c r="M19" t="n">
        <v>185</v>
      </c>
      <c r="N19" t="n">
        <v>53</v>
      </c>
      <c r="O19" t="n">
        <v>238</v>
      </c>
      <c r="P19" t="n">
        <v>-55</v>
      </c>
      <c r="Q19" t="inlineStr">
        <is>
          <t>Below Reorder Point</t>
        </is>
      </c>
    </row>
    <row r="20">
      <c r="A20" t="n">
        <v>17</v>
      </c>
      <c r="B20" t="inlineStr">
        <is>
          <t>Feb-2023</t>
        </is>
      </c>
      <c r="C20" t="inlineStr">
        <is>
          <t>Copper</t>
        </is>
      </c>
      <c r="D20" t="inlineStr">
        <is>
          <t>South</t>
        </is>
      </c>
      <c r="E20" t="n">
        <v>147</v>
      </c>
      <c r="F20" t="n">
        <v>212</v>
      </c>
      <c r="G20" t="n">
        <v>186</v>
      </c>
      <c r="H20" t="n">
        <v>173</v>
      </c>
      <c r="I20" t="n">
        <v>72</v>
      </c>
      <c r="J20" t="n">
        <v>12456</v>
      </c>
      <c r="K20" t="n">
        <v>28</v>
      </c>
      <c r="L20" t="n">
        <v>8</v>
      </c>
      <c r="M20" t="n">
        <v>174</v>
      </c>
      <c r="N20" t="n">
        <v>50</v>
      </c>
      <c r="O20" t="n">
        <v>224</v>
      </c>
      <c r="P20" t="n">
        <v>-51</v>
      </c>
      <c r="Q20" t="inlineStr">
        <is>
          <t>Below Reorder Point</t>
        </is>
      </c>
    </row>
    <row r="21">
      <c r="A21" t="n">
        <v>18</v>
      </c>
      <c r="B21" t="inlineStr">
        <is>
          <t>Feb-2023</t>
        </is>
      </c>
      <c r="C21" t="inlineStr">
        <is>
          <t>Copper</t>
        </is>
      </c>
      <c r="D21" t="inlineStr">
        <is>
          <t>West</t>
        </is>
      </c>
      <c r="E21" t="n">
        <v>168</v>
      </c>
      <c r="F21" t="n">
        <v>243</v>
      </c>
      <c r="G21" t="n">
        <v>213</v>
      </c>
      <c r="H21" t="n">
        <v>198</v>
      </c>
      <c r="I21" t="n">
        <v>72</v>
      </c>
      <c r="J21" t="n">
        <v>14256</v>
      </c>
      <c r="K21" t="n">
        <v>28</v>
      </c>
      <c r="L21" t="n">
        <v>8</v>
      </c>
      <c r="M21" t="n">
        <v>199</v>
      </c>
      <c r="N21" t="n">
        <v>57</v>
      </c>
      <c r="O21" t="n">
        <v>256</v>
      </c>
      <c r="P21" t="n">
        <v>-58</v>
      </c>
      <c r="Q21" t="inlineStr">
        <is>
          <t>Below Reorder Point</t>
        </is>
      </c>
    </row>
    <row r="22">
      <c r="A22" t="n">
        <v>19</v>
      </c>
      <c r="B22" t="inlineStr">
        <is>
          <t>Mar-2023</t>
        </is>
      </c>
      <c r="C22" t="inlineStr">
        <is>
          <t>Steel</t>
        </is>
      </c>
      <c r="D22" t="inlineStr">
        <is>
          <t>North</t>
        </is>
      </c>
      <c r="E22" t="n">
        <v>288</v>
      </c>
      <c r="F22" t="n">
        <v>388</v>
      </c>
      <c r="G22" t="n">
        <v>340</v>
      </c>
      <c r="H22" t="n">
        <v>336</v>
      </c>
      <c r="I22" t="n">
        <v>38</v>
      </c>
      <c r="J22" t="n">
        <v>12768</v>
      </c>
      <c r="K22" t="n">
        <v>42</v>
      </c>
      <c r="L22" t="n">
        <v>12</v>
      </c>
      <c r="M22" t="n">
        <v>476</v>
      </c>
      <c r="N22" t="n">
        <v>136</v>
      </c>
      <c r="O22" t="n">
        <v>612</v>
      </c>
      <c r="P22" t="n">
        <v>-276</v>
      </c>
      <c r="Q22" t="inlineStr">
        <is>
          <t>Below Reorder Point</t>
        </is>
      </c>
    </row>
    <row r="23">
      <c r="A23" t="n">
        <v>20</v>
      </c>
      <c r="B23" t="inlineStr">
        <is>
          <t>Mar-2023</t>
        </is>
      </c>
      <c r="C23" t="inlineStr">
        <is>
          <t>Steel</t>
        </is>
      </c>
      <c r="D23" t="inlineStr">
        <is>
          <t>South</t>
        </is>
      </c>
      <c r="E23" t="n">
        <v>271</v>
      </c>
      <c r="F23" t="n">
        <v>365</v>
      </c>
      <c r="G23" t="n">
        <v>319</v>
      </c>
      <c r="H23" t="n">
        <v>317</v>
      </c>
      <c r="I23" t="n">
        <v>38</v>
      </c>
      <c r="J23" t="n">
        <v>12046</v>
      </c>
      <c r="K23" t="n">
        <v>42</v>
      </c>
      <c r="L23" t="n">
        <v>12</v>
      </c>
      <c r="M23" t="n">
        <v>447</v>
      </c>
      <c r="N23" t="n">
        <v>128</v>
      </c>
      <c r="O23" t="n">
        <v>575</v>
      </c>
      <c r="P23" t="n">
        <v>-258</v>
      </c>
      <c r="Q23" t="inlineStr">
        <is>
          <t>Below Reorder Point</t>
        </is>
      </c>
    </row>
    <row r="24">
      <c r="A24" t="n">
        <v>21</v>
      </c>
      <c r="B24" t="inlineStr">
        <is>
          <t>Mar-2023</t>
        </is>
      </c>
      <c r="C24" t="inlineStr">
        <is>
          <t>Steel</t>
        </is>
      </c>
      <c r="D24" t="inlineStr">
        <is>
          <t>West</t>
        </is>
      </c>
      <c r="E24" t="n">
        <v>311</v>
      </c>
      <c r="F24" t="n">
        <v>419</v>
      </c>
      <c r="G24" t="n">
        <v>367</v>
      </c>
      <c r="H24" t="n">
        <v>363</v>
      </c>
      <c r="I24" t="n">
        <v>38</v>
      </c>
      <c r="J24" t="n">
        <v>13794</v>
      </c>
      <c r="K24" t="n">
        <v>42</v>
      </c>
      <c r="L24" t="n">
        <v>12</v>
      </c>
      <c r="M24" t="n">
        <v>514</v>
      </c>
      <c r="N24" t="n">
        <v>147</v>
      </c>
      <c r="O24" t="n">
        <v>661</v>
      </c>
      <c r="P24" t="n">
        <v>-298</v>
      </c>
      <c r="Q24" t="inlineStr">
        <is>
          <t>Below Reorder Point</t>
        </is>
      </c>
    </row>
    <row r="25">
      <c r="A25" t="n">
        <v>22</v>
      </c>
      <c r="B25" t="inlineStr">
        <is>
          <t>Mar-2023</t>
        </is>
      </c>
      <c r="C25" t="inlineStr">
        <is>
          <t>Aluminium</t>
        </is>
      </c>
      <c r="D25" t="inlineStr">
        <is>
          <t>North</t>
        </is>
      </c>
      <c r="E25" t="n">
        <v>216</v>
      </c>
      <c r="F25" t="n">
        <v>291</v>
      </c>
      <c r="G25" t="n">
        <v>252</v>
      </c>
      <c r="H25" t="n">
        <v>255</v>
      </c>
      <c r="I25" t="n">
        <v>55</v>
      </c>
      <c r="J25" t="n">
        <v>14025</v>
      </c>
      <c r="K25" t="n">
        <v>35</v>
      </c>
      <c r="L25" t="n">
        <v>10</v>
      </c>
      <c r="M25" t="n">
        <v>294</v>
      </c>
      <c r="N25" t="n">
        <v>84</v>
      </c>
      <c r="O25" t="n">
        <v>378</v>
      </c>
      <c r="P25" t="n">
        <v>-123</v>
      </c>
      <c r="Q25" t="inlineStr">
        <is>
          <t>Below Reorder Point</t>
        </is>
      </c>
    </row>
    <row r="26">
      <c r="A26" t="n">
        <v>23</v>
      </c>
      <c r="B26" t="inlineStr">
        <is>
          <t>Mar-2023</t>
        </is>
      </c>
      <c r="C26" t="inlineStr">
        <is>
          <t>Aluminium</t>
        </is>
      </c>
      <c r="D26" t="inlineStr">
        <is>
          <t>South</t>
        </is>
      </c>
      <c r="E26" t="n">
        <v>203</v>
      </c>
      <c r="F26" t="n">
        <v>274</v>
      </c>
      <c r="G26" t="n">
        <v>237</v>
      </c>
      <c r="H26" t="n">
        <v>240</v>
      </c>
      <c r="I26" t="n">
        <v>55</v>
      </c>
      <c r="J26" t="n">
        <v>13200</v>
      </c>
      <c r="K26" t="n">
        <v>35</v>
      </c>
      <c r="L26" t="n">
        <v>10</v>
      </c>
      <c r="M26" t="n">
        <v>276</v>
      </c>
      <c r="N26" t="n">
        <v>79</v>
      </c>
      <c r="O26" t="n">
        <v>355</v>
      </c>
      <c r="P26" t="n">
        <v>-115</v>
      </c>
      <c r="Q26" t="inlineStr">
        <is>
          <t>Below Reorder Point</t>
        </is>
      </c>
    </row>
    <row r="27">
      <c r="A27" t="n">
        <v>24</v>
      </c>
      <c r="B27" t="inlineStr">
        <is>
          <t>Mar-2023</t>
        </is>
      </c>
      <c r="C27" t="inlineStr">
        <is>
          <t>Aluminium</t>
        </is>
      </c>
      <c r="D27" t="inlineStr">
        <is>
          <t>West</t>
        </is>
      </c>
      <c r="E27" t="n">
        <v>233</v>
      </c>
      <c r="F27" t="n">
        <v>314</v>
      </c>
      <c r="G27" t="n">
        <v>272</v>
      </c>
      <c r="H27" t="n">
        <v>275</v>
      </c>
      <c r="I27" t="n">
        <v>55</v>
      </c>
      <c r="J27" t="n">
        <v>15125</v>
      </c>
      <c r="K27" t="n">
        <v>35</v>
      </c>
      <c r="L27" t="n">
        <v>10</v>
      </c>
      <c r="M27" t="n">
        <v>317</v>
      </c>
      <c r="N27" t="n">
        <v>91</v>
      </c>
      <c r="O27" t="n">
        <v>408</v>
      </c>
      <c r="P27" t="n">
        <v>-133</v>
      </c>
      <c r="Q27" t="inlineStr">
        <is>
          <t>Below Reorder Point</t>
        </is>
      </c>
    </row>
    <row r="28">
      <c r="A28" t="n">
        <v>25</v>
      </c>
      <c r="B28" t="inlineStr">
        <is>
          <t>Mar-2023</t>
        </is>
      </c>
      <c r="C28" t="inlineStr">
        <is>
          <t>Copper</t>
        </is>
      </c>
      <c r="D28" t="inlineStr">
        <is>
          <t>North</t>
        </is>
      </c>
      <c r="E28" t="n">
        <v>156</v>
      </c>
      <c r="F28" t="n">
        <v>210</v>
      </c>
      <c r="G28" t="n">
        <v>184</v>
      </c>
      <c r="H28" t="n">
        <v>182</v>
      </c>
      <c r="I28" t="n">
        <v>72</v>
      </c>
      <c r="J28" t="n">
        <v>13104</v>
      </c>
      <c r="K28" t="n">
        <v>28</v>
      </c>
      <c r="L28" t="n">
        <v>8</v>
      </c>
      <c r="M28" t="n">
        <v>172</v>
      </c>
      <c r="N28" t="n">
        <v>49</v>
      </c>
      <c r="O28" t="n">
        <v>221</v>
      </c>
      <c r="P28" t="n">
        <v>-39</v>
      </c>
      <c r="Q28" t="inlineStr">
        <is>
          <t>Below Reorder Point</t>
        </is>
      </c>
    </row>
    <row r="29">
      <c r="A29" t="n">
        <v>26</v>
      </c>
      <c r="B29" t="inlineStr">
        <is>
          <t>Mar-2023</t>
        </is>
      </c>
      <c r="C29" t="inlineStr">
        <is>
          <t>Copper</t>
        </is>
      </c>
      <c r="D29" t="inlineStr">
        <is>
          <t>South</t>
        </is>
      </c>
      <c r="E29" t="n">
        <v>147</v>
      </c>
      <c r="F29" t="n">
        <v>198</v>
      </c>
      <c r="G29" t="n">
        <v>173</v>
      </c>
      <c r="H29" t="n">
        <v>172</v>
      </c>
      <c r="I29" t="n">
        <v>72</v>
      </c>
      <c r="J29" t="n">
        <v>12384</v>
      </c>
      <c r="K29" t="n">
        <v>28</v>
      </c>
      <c r="L29" t="n">
        <v>8</v>
      </c>
      <c r="M29" t="n">
        <v>161</v>
      </c>
      <c r="N29" t="n">
        <v>46</v>
      </c>
      <c r="O29" t="n">
        <v>207</v>
      </c>
      <c r="P29" t="n">
        <v>-35</v>
      </c>
      <c r="Q29" t="inlineStr">
        <is>
          <t>Below Reorder Point</t>
        </is>
      </c>
    </row>
    <row r="30">
      <c r="A30" t="n">
        <v>27</v>
      </c>
      <c r="B30" t="inlineStr">
        <is>
          <t>Mar-2023</t>
        </is>
      </c>
      <c r="C30" t="inlineStr">
        <is>
          <t>Copper</t>
        </is>
      </c>
      <c r="D30" t="inlineStr">
        <is>
          <t>West</t>
        </is>
      </c>
      <c r="E30" t="n">
        <v>168</v>
      </c>
      <c r="F30" t="n">
        <v>227</v>
      </c>
      <c r="G30" t="n">
        <v>199</v>
      </c>
      <c r="H30" t="n">
        <v>196</v>
      </c>
      <c r="I30" t="n">
        <v>72</v>
      </c>
      <c r="J30" t="n">
        <v>14112</v>
      </c>
      <c r="K30" t="n">
        <v>28</v>
      </c>
      <c r="L30" t="n">
        <v>8</v>
      </c>
      <c r="M30" t="n">
        <v>186</v>
      </c>
      <c r="N30" t="n">
        <v>53</v>
      </c>
      <c r="O30" t="n">
        <v>239</v>
      </c>
      <c r="P30" t="n">
        <v>-43</v>
      </c>
      <c r="Q30" t="inlineStr">
        <is>
          <t>Below Reorder Point</t>
        </is>
      </c>
    </row>
    <row r="31">
      <c r="A31" t="n">
        <v>28</v>
      </c>
      <c r="B31" t="inlineStr">
        <is>
          <t>Apr-2023</t>
        </is>
      </c>
      <c r="C31" t="inlineStr">
        <is>
          <t>Steel</t>
        </is>
      </c>
      <c r="D31" t="inlineStr">
        <is>
          <t>North</t>
        </is>
      </c>
      <c r="E31" t="n">
        <v>288</v>
      </c>
      <c r="F31" t="n">
        <v>424</v>
      </c>
      <c r="G31" t="n">
        <v>371</v>
      </c>
      <c r="H31" t="n">
        <v>341</v>
      </c>
      <c r="I31" t="n">
        <v>38</v>
      </c>
      <c r="J31" t="n">
        <v>12958</v>
      </c>
      <c r="K31" t="n">
        <v>42</v>
      </c>
      <c r="L31" t="n">
        <v>12</v>
      </c>
      <c r="M31" t="n">
        <v>519</v>
      </c>
      <c r="N31" t="n">
        <v>148</v>
      </c>
      <c r="O31" t="n">
        <v>667</v>
      </c>
      <c r="P31" t="n">
        <v>-326</v>
      </c>
      <c r="Q31" t="inlineStr">
        <is>
          <t>Below Reorder Point</t>
        </is>
      </c>
    </row>
    <row r="32">
      <c r="A32" t="n">
        <v>29</v>
      </c>
      <c r="B32" t="inlineStr">
        <is>
          <t>Apr-2023</t>
        </is>
      </c>
      <c r="C32" t="inlineStr">
        <is>
          <t>Steel</t>
        </is>
      </c>
      <c r="D32" t="inlineStr">
        <is>
          <t>South</t>
        </is>
      </c>
      <c r="E32" t="n">
        <v>271</v>
      </c>
      <c r="F32" t="n">
        <v>399</v>
      </c>
      <c r="G32" t="n">
        <v>349</v>
      </c>
      <c r="H32" t="n">
        <v>321</v>
      </c>
      <c r="I32" t="n">
        <v>38</v>
      </c>
      <c r="J32" t="n">
        <v>12198</v>
      </c>
      <c r="K32" t="n">
        <v>42</v>
      </c>
      <c r="L32" t="n">
        <v>12</v>
      </c>
      <c r="M32" t="n">
        <v>489</v>
      </c>
      <c r="N32" t="n">
        <v>140</v>
      </c>
      <c r="O32" t="n">
        <v>629</v>
      </c>
      <c r="P32" t="n">
        <v>-308</v>
      </c>
      <c r="Q32" t="inlineStr">
        <is>
          <t>Below Reorder Point</t>
        </is>
      </c>
    </row>
    <row r="33">
      <c r="A33" t="n">
        <v>30</v>
      </c>
      <c r="B33" t="inlineStr">
        <is>
          <t>Apr-2023</t>
        </is>
      </c>
      <c r="C33" t="inlineStr">
        <is>
          <t>Steel</t>
        </is>
      </c>
      <c r="D33" t="inlineStr">
        <is>
          <t>West</t>
        </is>
      </c>
      <c r="E33" t="n">
        <v>311</v>
      </c>
      <c r="F33" t="n">
        <v>458</v>
      </c>
      <c r="G33" t="n">
        <v>401</v>
      </c>
      <c r="H33" t="n">
        <v>368</v>
      </c>
      <c r="I33" t="n">
        <v>38</v>
      </c>
      <c r="J33" t="n">
        <v>13984</v>
      </c>
      <c r="K33" t="n">
        <v>42</v>
      </c>
      <c r="L33" t="n">
        <v>12</v>
      </c>
      <c r="M33" t="n">
        <v>561</v>
      </c>
      <c r="N33" t="n">
        <v>160</v>
      </c>
      <c r="O33" t="n">
        <v>721</v>
      </c>
      <c r="P33" t="n">
        <v>-353</v>
      </c>
      <c r="Q33" t="inlineStr">
        <is>
          <t>Below Reorder Point</t>
        </is>
      </c>
    </row>
    <row r="34">
      <c r="A34" t="n">
        <v>31</v>
      </c>
      <c r="B34" t="inlineStr">
        <is>
          <t>Apr-2023</t>
        </is>
      </c>
      <c r="C34" t="inlineStr">
        <is>
          <t>Aluminium</t>
        </is>
      </c>
      <c r="D34" t="inlineStr">
        <is>
          <t>North</t>
        </is>
      </c>
      <c r="E34" t="n">
        <v>216</v>
      </c>
      <c r="F34" t="n">
        <v>318</v>
      </c>
      <c r="G34" t="n">
        <v>276</v>
      </c>
      <c r="H34" t="n">
        <v>258</v>
      </c>
      <c r="I34" t="n">
        <v>55</v>
      </c>
      <c r="J34" t="n">
        <v>14190</v>
      </c>
      <c r="K34" t="n">
        <v>35</v>
      </c>
      <c r="L34" t="n">
        <v>10</v>
      </c>
      <c r="M34" t="n">
        <v>322</v>
      </c>
      <c r="N34" t="n">
        <v>92</v>
      </c>
      <c r="O34" t="n">
        <v>414</v>
      </c>
      <c r="P34" t="n">
        <v>-156</v>
      </c>
      <c r="Q34" t="inlineStr">
        <is>
          <t>Below Reorder Point</t>
        </is>
      </c>
    </row>
    <row r="35">
      <c r="A35" t="n">
        <v>32</v>
      </c>
      <c r="B35" t="inlineStr">
        <is>
          <t>Apr-2023</t>
        </is>
      </c>
      <c r="C35" t="inlineStr">
        <is>
          <t>Aluminium</t>
        </is>
      </c>
      <c r="D35" t="inlineStr">
        <is>
          <t>South</t>
        </is>
      </c>
      <c r="E35" t="n">
        <v>203</v>
      </c>
      <c r="F35" t="n">
        <v>299</v>
      </c>
      <c r="G35" t="n">
        <v>259</v>
      </c>
      <c r="H35" t="n">
        <v>243</v>
      </c>
      <c r="I35" t="n">
        <v>55</v>
      </c>
      <c r="J35" t="n">
        <v>13365</v>
      </c>
      <c r="K35" t="n">
        <v>35</v>
      </c>
      <c r="L35" t="n">
        <v>10</v>
      </c>
      <c r="M35" t="n">
        <v>302</v>
      </c>
      <c r="N35" t="n">
        <v>86</v>
      </c>
      <c r="O35" t="n">
        <v>388</v>
      </c>
      <c r="P35" t="n">
        <v>-145</v>
      </c>
      <c r="Q35" t="inlineStr">
        <is>
          <t>Below Reorder Point</t>
        </is>
      </c>
    </row>
    <row r="36">
      <c r="A36" t="n">
        <v>33</v>
      </c>
      <c r="B36" t="inlineStr">
        <is>
          <t>Apr-2023</t>
        </is>
      </c>
      <c r="C36" t="inlineStr">
        <is>
          <t>Aluminium</t>
        </is>
      </c>
      <c r="D36" t="inlineStr">
        <is>
          <t>West</t>
        </is>
      </c>
      <c r="E36" t="n">
        <v>233</v>
      </c>
      <c r="F36" t="n">
        <v>343</v>
      </c>
      <c r="G36" t="n">
        <v>298</v>
      </c>
      <c r="H36" t="n">
        <v>278</v>
      </c>
      <c r="I36" t="n">
        <v>55</v>
      </c>
      <c r="J36" t="n">
        <v>15290</v>
      </c>
      <c r="K36" t="n">
        <v>35</v>
      </c>
      <c r="L36" t="n">
        <v>10</v>
      </c>
      <c r="M36" t="n">
        <v>348</v>
      </c>
      <c r="N36" t="n">
        <v>99</v>
      </c>
      <c r="O36" t="n">
        <v>447</v>
      </c>
      <c r="P36" t="n">
        <v>-169</v>
      </c>
      <c r="Q36" t="inlineStr">
        <is>
          <t>Below Reorder Point</t>
        </is>
      </c>
    </row>
    <row r="37">
      <c r="A37" t="n">
        <v>34</v>
      </c>
      <c r="B37" t="inlineStr">
        <is>
          <t>Apr-2023</t>
        </is>
      </c>
      <c r="C37" t="inlineStr">
        <is>
          <t>Copper</t>
        </is>
      </c>
      <c r="D37" t="inlineStr">
        <is>
          <t>North</t>
        </is>
      </c>
      <c r="E37" t="n">
        <v>156</v>
      </c>
      <c r="F37" t="n">
        <v>230</v>
      </c>
      <c r="G37" t="n">
        <v>201</v>
      </c>
      <c r="H37" t="n">
        <v>185</v>
      </c>
      <c r="I37" t="n">
        <v>72</v>
      </c>
      <c r="J37" t="n">
        <v>13320</v>
      </c>
      <c r="K37" t="n">
        <v>28</v>
      </c>
      <c r="L37" t="n">
        <v>8</v>
      </c>
      <c r="M37" t="n">
        <v>188</v>
      </c>
      <c r="N37" t="n">
        <v>54</v>
      </c>
      <c r="O37" t="n">
        <v>242</v>
      </c>
      <c r="P37" t="n">
        <v>-57</v>
      </c>
      <c r="Q37" t="inlineStr">
        <is>
          <t>Below Reorder Point</t>
        </is>
      </c>
    </row>
    <row r="38">
      <c r="A38" t="n">
        <v>35</v>
      </c>
      <c r="B38" t="inlineStr">
        <is>
          <t>Apr-2023</t>
        </is>
      </c>
      <c r="C38" t="inlineStr">
        <is>
          <t>Copper</t>
        </is>
      </c>
      <c r="D38" t="inlineStr">
        <is>
          <t>South</t>
        </is>
      </c>
      <c r="E38" t="n">
        <v>147</v>
      </c>
      <c r="F38" t="n">
        <v>216</v>
      </c>
      <c r="G38" t="n">
        <v>189</v>
      </c>
      <c r="H38" t="n">
        <v>174</v>
      </c>
      <c r="I38" t="n">
        <v>72</v>
      </c>
      <c r="J38" t="n">
        <v>12528</v>
      </c>
      <c r="K38" t="n">
        <v>28</v>
      </c>
      <c r="L38" t="n">
        <v>8</v>
      </c>
      <c r="M38" t="n">
        <v>176</v>
      </c>
      <c r="N38" t="n">
        <v>50</v>
      </c>
      <c r="O38" t="n">
        <v>226</v>
      </c>
      <c r="P38" t="n">
        <v>-52</v>
      </c>
      <c r="Q38" t="inlineStr">
        <is>
          <t>Below Reorder Point</t>
        </is>
      </c>
    </row>
    <row r="39">
      <c r="A39" t="n">
        <v>36</v>
      </c>
      <c r="B39" t="inlineStr">
        <is>
          <t>Apr-2023</t>
        </is>
      </c>
      <c r="C39" t="inlineStr">
        <is>
          <t>Copper</t>
        </is>
      </c>
      <c r="D39" t="inlineStr">
        <is>
          <t>West</t>
        </is>
      </c>
      <c r="E39" t="n">
        <v>168</v>
      </c>
      <c r="F39" t="n">
        <v>248</v>
      </c>
      <c r="G39" t="n">
        <v>218</v>
      </c>
      <c r="H39" t="n">
        <v>198</v>
      </c>
      <c r="I39" t="n">
        <v>72</v>
      </c>
      <c r="J39" t="n">
        <v>14256</v>
      </c>
      <c r="K39" t="n">
        <v>28</v>
      </c>
      <c r="L39" t="n">
        <v>8</v>
      </c>
      <c r="M39" t="n">
        <v>203</v>
      </c>
      <c r="N39" t="n">
        <v>58</v>
      </c>
      <c r="O39" t="n">
        <v>261</v>
      </c>
      <c r="P39" t="n">
        <v>-63</v>
      </c>
      <c r="Q39" t="inlineStr">
        <is>
          <t>Below Reorder Point</t>
        </is>
      </c>
    </row>
    <row r="40">
      <c r="A40" t="n">
        <v>37</v>
      </c>
      <c r="B40" t="inlineStr">
        <is>
          <t>May-2023</t>
        </is>
      </c>
      <c r="C40" t="inlineStr">
        <is>
          <t>Steel</t>
        </is>
      </c>
      <c r="D40" t="inlineStr">
        <is>
          <t>North</t>
        </is>
      </c>
      <c r="E40" t="n">
        <v>288</v>
      </c>
      <c r="F40" t="n">
        <v>436</v>
      </c>
      <c r="G40" t="n">
        <v>382</v>
      </c>
      <c r="H40" t="n">
        <v>342</v>
      </c>
      <c r="I40" t="n">
        <v>38</v>
      </c>
      <c r="J40" t="n">
        <v>12996</v>
      </c>
      <c r="K40" t="n">
        <v>42</v>
      </c>
      <c r="L40" t="n">
        <v>12</v>
      </c>
      <c r="M40" t="n">
        <v>535</v>
      </c>
      <c r="N40" t="n">
        <v>153</v>
      </c>
      <c r="O40" t="n">
        <v>688</v>
      </c>
      <c r="P40" t="n">
        <v>-346</v>
      </c>
      <c r="Q40" t="inlineStr">
        <is>
          <t>Below Reorder Point</t>
        </is>
      </c>
    </row>
    <row r="41">
      <c r="A41" t="n">
        <v>38</v>
      </c>
      <c r="B41" t="inlineStr">
        <is>
          <t>May-2023</t>
        </is>
      </c>
      <c r="C41" t="inlineStr">
        <is>
          <t>Steel</t>
        </is>
      </c>
      <c r="D41" t="inlineStr">
        <is>
          <t>South</t>
        </is>
      </c>
      <c r="E41" t="n">
        <v>271</v>
      </c>
      <c r="F41" t="n">
        <v>410</v>
      </c>
      <c r="G41" t="n">
        <v>359</v>
      </c>
      <c r="H41" t="n">
        <v>322</v>
      </c>
      <c r="I41" t="n">
        <v>38</v>
      </c>
      <c r="J41" t="n">
        <v>12236</v>
      </c>
      <c r="K41" t="n">
        <v>42</v>
      </c>
      <c r="L41" t="n">
        <v>12</v>
      </c>
      <c r="M41" t="n">
        <v>503</v>
      </c>
      <c r="N41" t="n">
        <v>144</v>
      </c>
      <c r="O41" t="n">
        <v>647</v>
      </c>
      <c r="P41" t="n">
        <v>-325</v>
      </c>
      <c r="Q41" t="inlineStr">
        <is>
          <t>Below Reorder Point</t>
        </is>
      </c>
    </row>
    <row r="42">
      <c r="A42" t="n">
        <v>39</v>
      </c>
      <c r="B42" t="inlineStr">
        <is>
          <t>May-2023</t>
        </is>
      </c>
      <c r="C42" t="inlineStr">
        <is>
          <t>Steel</t>
        </is>
      </c>
      <c r="D42" t="inlineStr">
        <is>
          <t>West</t>
        </is>
      </c>
      <c r="E42" t="n">
        <v>311</v>
      </c>
      <c r="F42" t="n">
        <v>471</v>
      </c>
      <c r="G42" t="n">
        <v>412</v>
      </c>
      <c r="H42" t="n">
        <v>370</v>
      </c>
      <c r="I42" t="n">
        <v>38</v>
      </c>
      <c r="J42" t="n">
        <v>14060</v>
      </c>
      <c r="K42" t="n">
        <v>42</v>
      </c>
      <c r="L42" t="n">
        <v>12</v>
      </c>
      <c r="M42" t="n">
        <v>577</v>
      </c>
      <c r="N42" t="n">
        <v>165</v>
      </c>
      <c r="O42" t="n">
        <v>742</v>
      </c>
      <c r="P42" t="n">
        <v>-372</v>
      </c>
      <c r="Q42" t="inlineStr">
        <is>
          <t>Below Reorder Point</t>
        </is>
      </c>
    </row>
    <row r="43">
      <c r="A43" t="n">
        <v>40</v>
      </c>
      <c r="B43" t="inlineStr">
        <is>
          <t>May-2023</t>
        </is>
      </c>
      <c r="C43" t="inlineStr">
        <is>
          <t>Aluminium</t>
        </is>
      </c>
      <c r="D43" t="inlineStr">
        <is>
          <t>North</t>
        </is>
      </c>
      <c r="E43" t="n">
        <v>216</v>
      </c>
      <c r="F43" t="n">
        <v>327</v>
      </c>
      <c r="G43" t="n">
        <v>283</v>
      </c>
      <c r="H43" t="n">
        <v>260</v>
      </c>
      <c r="I43" t="n">
        <v>55</v>
      </c>
      <c r="J43" t="n">
        <v>14300</v>
      </c>
      <c r="K43" t="n">
        <v>35</v>
      </c>
      <c r="L43" t="n">
        <v>10</v>
      </c>
      <c r="M43" t="n">
        <v>330</v>
      </c>
      <c r="N43" t="n">
        <v>94</v>
      </c>
      <c r="O43" t="n">
        <v>424</v>
      </c>
      <c r="P43" t="n">
        <v>-164</v>
      </c>
      <c r="Q43" t="inlineStr">
        <is>
          <t>Below Reorder Point</t>
        </is>
      </c>
    </row>
    <row r="44">
      <c r="A44" t="n">
        <v>41</v>
      </c>
      <c r="B44" t="inlineStr">
        <is>
          <t>May-2023</t>
        </is>
      </c>
      <c r="C44" t="inlineStr">
        <is>
          <t>Aluminium</t>
        </is>
      </c>
      <c r="D44" t="inlineStr">
        <is>
          <t>South</t>
        </is>
      </c>
      <c r="E44" t="n">
        <v>203</v>
      </c>
      <c r="F44" t="n">
        <v>307</v>
      </c>
      <c r="G44" t="n">
        <v>266</v>
      </c>
      <c r="H44" t="n">
        <v>244</v>
      </c>
      <c r="I44" t="n">
        <v>55</v>
      </c>
      <c r="J44" t="n">
        <v>13420</v>
      </c>
      <c r="K44" t="n">
        <v>35</v>
      </c>
      <c r="L44" t="n">
        <v>10</v>
      </c>
      <c r="M44" t="n">
        <v>310</v>
      </c>
      <c r="N44" t="n">
        <v>89</v>
      </c>
      <c r="O44" t="n">
        <v>399</v>
      </c>
      <c r="P44" t="n">
        <v>-155</v>
      </c>
      <c r="Q44" t="inlineStr">
        <is>
          <t>Below Reorder Point</t>
        </is>
      </c>
    </row>
    <row r="45">
      <c r="A45" t="n">
        <v>42</v>
      </c>
      <c r="B45" t="inlineStr">
        <is>
          <t>May-2023</t>
        </is>
      </c>
      <c r="C45" t="inlineStr">
        <is>
          <t>Aluminium</t>
        </is>
      </c>
      <c r="D45" t="inlineStr">
        <is>
          <t>West</t>
        </is>
      </c>
      <c r="E45" t="n">
        <v>233</v>
      </c>
      <c r="F45" t="n">
        <v>353</v>
      </c>
      <c r="G45" t="n">
        <v>306</v>
      </c>
      <c r="H45" t="n">
        <v>280</v>
      </c>
      <c r="I45" t="n">
        <v>55</v>
      </c>
      <c r="J45" t="n">
        <v>15400</v>
      </c>
      <c r="K45" t="n">
        <v>35</v>
      </c>
      <c r="L45" t="n">
        <v>10</v>
      </c>
      <c r="M45" t="n">
        <v>357</v>
      </c>
      <c r="N45" t="n">
        <v>102</v>
      </c>
      <c r="O45" t="n">
        <v>459</v>
      </c>
      <c r="P45" t="n">
        <v>-179</v>
      </c>
      <c r="Q45" t="inlineStr">
        <is>
          <t>Below Reorder Point</t>
        </is>
      </c>
    </row>
    <row r="46">
      <c r="A46" t="n">
        <v>43</v>
      </c>
      <c r="B46" t="inlineStr">
        <is>
          <t>May-2023</t>
        </is>
      </c>
      <c r="C46" t="inlineStr">
        <is>
          <t>Copper</t>
        </is>
      </c>
      <c r="D46" t="inlineStr">
        <is>
          <t>North</t>
        </is>
      </c>
      <c r="E46" t="n">
        <v>156</v>
      </c>
      <c r="F46" t="n">
        <v>236</v>
      </c>
      <c r="G46" t="n">
        <v>207</v>
      </c>
      <c r="H46" t="n">
        <v>185</v>
      </c>
      <c r="I46" t="n">
        <v>72</v>
      </c>
      <c r="J46" t="n">
        <v>13320</v>
      </c>
      <c r="K46" t="n">
        <v>28</v>
      </c>
      <c r="L46" t="n">
        <v>8</v>
      </c>
      <c r="M46" t="n">
        <v>193</v>
      </c>
      <c r="N46" t="n">
        <v>55</v>
      </c>
      <c r="O46" t="n">
        <v>248</v>
      </c>
      <c r="P46" t="n">
        <v>-63</v>
      </c>
      <c r="Q46" t="inlineStr">
        <is>
          <t>Below Reorder Point</t>
        </is>
      </c>
    </row>
    <row r="47">
      <c r="A47" t="n">
        <v>44</v>
      </c>
      <c r="B47" t="inlineStr">
        <is>
          <t>May-2023</t>
        </is>
      </c>
      <c r="C47" t="inlineStr">
        <is>
          <t>Copper</t>
        </is>
      </c>
      <c r="D47" t="inlineStr">
        <is>
          <t>South</t>
        </is>
      </c>
      <c r="E47" t="n">
        <v>147</v>
      </c>
      <c r="F47" t="n">
        <v>222</v>
      </c>
      <c r="G47" t="n">
        <v>195</v>
      </c>
      <c r="H47" t="n">
        <v>174</v>
      </c>
      <c r="I47" t="n">
        <v>72</v>
      </c>
      <c r="J47" t="n">
        <v>12528</v>
      </c>
      <c r="K47" t="n">
        <v>28</v>
      </c>
      <c r="L47" t="n">
        <v>8</v>
      </c>
      <c r="M47" t="n">
        <v>182</v>
      </c>
      <c r="N47" t="n">
        <v>52</v>
      </c>
      <c r="O47" t="n">
        <v>234</v>
      </c>
      <c r="P47" t="n">
        <v>-60</v>
      </c>
      <c r="Q47" t="inlineStr">
        <is>
          <t>Below Reorder Point</t>
        </is>
      </c>
    </row>
    <row r="48">
      <c r="A48" t="n">
        <v>45</v>
      </c>
      <c r="B48" t="inlineStr">
        <is>
          <t>May-2023</t>
        </is>
      </c>
      <c r="C48" t="inlineStr">
        <is>
          <t>Copper</t>
        </is>
      </c>
      <c r="D48" t="inlineStr">
        <is>
          <t>West</t>
        </is>
      </c>
      <c r="E48" t="n">
        <v>168</v>
      </c>
      <c r="F48" t="n">
        <v>255</v>
      </c>
      <c r="G48" t="n">
        <v>224</v>
      </c>
      <c r="H48" t="n">
        <v>199</v>
      </c>
      <c r="I48" t="n">
        <v>72</v>
      </c>
      <c r="J48" t="n">
        <v>14328</v>
      </c>
      <c r="K48" t="n">
        <v>28</v>
      </c>
      <c r="L48" t="n">
        <v>8</v>
      </c>
      <c r="M48" t="n">
        <v>209</v>
      </c>
      <c r="N48" t="n">
        <v>60</v>
      </c>
      <c r="O48" t="n">
        <v>269</v>
      </c>
      <c r="P48" t="n">
        <v>-70</v>
      </c>
      <c r="Q48" t="inlineStr">
        <is>
          <t>Below Reorder Point</t>
        </is>
      </c>
    </row>
    <row r="49">
      <c r="A49" t="n">
        <v>46</v>
      </c>
      <c r="B49" t="inlineStr">
        <is>
          <t>Jun-2023</t>
        </is>
      </c>
      <c r="C49" t="inlineStr">
        <is>
          <t>Steel</t>
        </is>
      </c>
      <c r="D49" t="inlineStr">
        <is>
          <t>North</t>
        </is>
      </c>
      <c r="E49" t="n">
        <v>288</v>
      </c>
      <c r="F49" t="n">
        <v>412</v>
      </c>
      <c r="G49" t="n">
        <v>360</v>
      </c>
      <c r="H49" t="n">
        <v>340</v>
      </c>
      <c r="I49" t="n">
        <v>38</v>
      </c>
      <c r="J49" t="n">
        <v>12920</v>
      </c>
      <c r="K49" t="n">
        <v>42</v>
      </c>
      <c r="L49" t="n">
        <v>12</v>
      </c>
      <c r="M49" t="n">
        <v>504</v>
      </c>
      <c r="N49" t="n">
        <v>144</v>
      </c>
      <c r="O49" t="n">
        <v>648</v>
      </c>
      <c r="P49" t="n">
        <v>-308</v>
      </c>
      <c r="Q49" t="inlineStr">
        <is>
          <t>Below Reorder Point</t>
        </is>
      </c>
    </row>
    <row r="50">
      <c r="A50" t="n">
        <v>47</v>
      </c>
      <c r="B50" t="inlineStr">
        <is>
          <t>Jun-2023</t>
        </is>
      </c>
      <c r="C50" t="inlineStr">
        <is>
          <t>Steel</t>
        </is>
      </c>
      <c r="D50" t="inlineStr">
        <is>
          <t>South</t>
        </is>
      </c>
      <c r="E50" t="n">
        <v>271</v>
      </c>
      <c r="F50" t="n">
        <v>387</v>
      </c>
      <c r="G50" t="n">
        <v>339</v>
      </c>
      <c r="H50" t="n">
        <v>319</v>
      </c>
      <c r="I50" t="n">
        <v>38</v>
      </c>
      <c r="J50" t="n">
        <v>12122</v>
      </c>
      <c r="K50" t="n">
        <v>42</v>
      </c>
      <c r="L50" t="n">
        <v>12</v>
      </c>
      <c r="M50" t="n">
        <v>475</v>
      </c>
      <c r="N50" t="n">
        <v>136</v>
      </c>
      <c r="O50" t="n">
        <v>611</v>
      </c>
      <c r="P50" t="n">
        <v>-292</v>
      </c>
      <c r="Q50" t="inlineStr">
        <is>
          <t>Below Reorder Point</t>
        </is>
      </c>
    </row>
    <row r="51">
      <c r="A51" t="n">
        <v>48</v>
      </c>
      <c r="B51" t="inlineStr">
        <is>
          <t>Jun-2023</t>
        </is>
      </c>
      <c r="C51" t="inlineStr">
        <is>
          <t>Steel</t>
        </is>
      </c>
      <c r="D51" t="inlineStr">
        <is>
          <t>West</t>
        </is>
      </c>
      <c r="E51" t="n">
        <v>311</v>
      </c>
      <c r="F51" t="n">
        <v>445</v>
      </c>
      <c r="G51" t="n">
        <v>389</v>
      </c>
      <c r="H51" t="n">
        <v>367</v>
      </c>
      <c r="I51" t="n">
        <v>38</v>
      </c>
      <c r="J51" t="n">
        <v>13946</v>
      </c>
      <c r="K51" t="n">
        <v>42</v>
      </c>
      <c r="L51" t="n">
        <v>12</v>
      </c>
      <c r="M51" t="n">
        <v>545</v>
      </c>
      <c r="N51" t="n">
        <v>156</v>
      </c>
      <c r="O51" t="n">
        <v>701</v>
      </c>
      <c r="P51" t="n">
        <v>-334</v>
      </c>
      <c r="Q51" t="inlineStr">
        <is>
          <t>Below Reorder Point</t>
        </is>
      </c>
    </row>
    <row r="52">
      <c r="A52" t="n">
        <v>49</v>
      </c>
      <c r="B52" t="inlineStr">
        <is>
          <t>Jun-2023</t>
        </is>
      </c>
      <c r="C52" t="inlineStr">
        <is>
          <t>Aluminium</t>
        </is>
      </c>
      <c r="D52" t="inlineStr">
        <is>
          <t>North</t>
        </is>
      </c>
      <c r="E52" t="n">
        <v>216</v>
      </c>
      <c r="F52" t="n">
        <v>309</v>
      </c>
      <c r="G52" t="n">
        <v>268</v>
      </c>
      <c r="H52" t="n">
        <v>257</v>
      </c>
      <c r="I52" t="n">
        <v>55</v>
      </c>
      <c r="J52" t="n">
        <v>14135</v>
      </c>
      <c r="K52" t="n">
        <v>35</v>
      </c>
      <c r="L52" t="n">
        <v>10</v>
      </c>
      <c r="M52" t="n">
        <v>313</v>
      </c>
      <c r="N52" t="n">
        <v>89</v>
      </c>
      <c r="O52" t="n">
        <v>402</v>
      </c>
      <c r="P52" t="n">
        <v>-145</v>
      </c>
      <c r="Q52" t="inlineStr">
        <is>
          <t>Below Reorder Point</t>
        </is>
      </c>
    </row>
    <row r="53">
      <c r="A53" t="n">
        <v>50</v>
      </c>
      <c r="B53" t="inlineStr">
        <is>
          <t>Jun-2023</t>
        </is>
      </c>
      <c r="C53" t="inlineStr">
        <is>
          <t>Aluminium</t>
        </is>
      </c>
      <c r="D53" t="inlineStr">
        <is>
          <t>South</t>
        </is>
      </c>
      <c r="E53" t="n">
        <v>203</v>
      </c>
      <c r="F53" t="n">
        <v>290</v>
      </c>
      <c r="G53" t="n">
        <v>252</v>
      </c>
      <c r="H53" t="n">
        <v>241</v>
      </c>
      <c r="I53" t="n">
        <v>55</v>
      </c>
      <c r="J53" t="n">
        <v>13255</v>
      </c>
      <c r="K53" t="n">
        <v>35</v>
      </c>
      <c r="L53" t="n">
        <v>10</v>
      </c>
      <c r="M53" t="n">
        <v>294</v>
      </c>
      <c r="N53" t="n">
        <v>84</v>
      </c>
      <c r="O53" t="n">
        <v>378</v>
      </c>
      <c r="P53" t="n">
        <v>-137</v>
      </c>
      <c r="Q53" t="inlineStr">
        <is>
          <t>Below Reorder Point</t>
        </is>
      </c>
    </row>
    <row r="54">
      <c r="A54" t="n">
        <v>51</v>
      </c>
      <c r="B54" t="inlineStr">
        <is>
          <t>Jun-2023</t>
        </is>
      </c>
      <c r="C54" t="inlineStr">
        <is>
          <t>Aluminium</t>
        </is>
      </c>
      <c r="D54" t="inlineStr">
        <is>
          <t>West</t>
        </is>
      </c>
      <c r="E54" t="n">
        <v>233</v>
      </c>
      <c r="F54" t="n">
        <v>334</v>
      </c>
      <c r="G54" t="n">
        <v>289</v>
      </c>
      <c r="H54" t="n">
        <v>278</v>
      </c>
      <c r="I54" t="n">
        <v>55</v>
      </c>
      <c r="J54" t="n">
        <v>15290</v>
      </c>
      <c r="K54" t="n">
        <v>35</v>
      </c>
      <c r="L54" t="n">
        <v>10</v>
      </c>
      <c r="M54" t="n">
        <v>337</v>
      </c>
      <c r="N54" t="n">
        <v>96</v>
      </c>
      <c r="O54" t="n">
        <v>433</v>
      </c>
      <c r="P54" t="n">
        <v>-155</v>
      </c>
      <c r="Q54" t="inlineStr">
        <is>
          <t>Below Reorder Point</t>
        </is>
      </c>
    </row>
    <row r="55">
      <c r="A55" t="n">
        <v>52</v>
      </c>
      <c r="B55" t="inlineStr">
        <is>
          <t>Jun-2023</t>
        </is>
      </c>
      <c r="C55" t="inlineStr">
        <is>
          <t>Copper</t>
        </is>
      </c>
      <c r="D55" t="inlineStr">
        <is>
          <t>North</t>
        </is>
      </c>
      <c r="E55" t="n">
        <v>156</v>
      </c>
      <c r="F55" t="n">
        <v>223</v>
      </c>
      <c r="G55" t="n">
        <v>196</v>
      </c>
      <c r="H55" t="n">
        <v>183</v>
      </c>
      <c r="I55" t="n">
        <v>72</v>
      </c>
      <c r="J55" t="n">
        <v>13176</v>
      </c>
      <c r="K55" t="n">
        <v>28</v>
      </c>
      <c r="L55" t="n">
        <v>8</v>
      </c>
      <c r="M55" t="n">
        <v>183</v>
      </c>
      <c r="N55" t="n">
        <v>52</v>
      </c>
      <c r="O55" t="n">
        <v>235</v>
      </c>
      <c r="P55" t="n">
        <v>-52</v>
      </c>
      <c r="Q55" t="inlineStr">
        <is>
          <t>Below Reorder Point</t>
        </is>
      </c>
    </row>
    <row r="56">
      <c r="A56" t="n">
        <v>53</v>
      </c>
      <c r="B56" t="inlineStr">
        <is>
          <t>Jun-2023</t>
        </is>
      </c>
      <c r="C56" t="inlineStr">
        <is>
          <t>Copper</t>
        </is>
      </c>
      <c r="D56" t="inlineStr">
        <is>
          <t>South</t>
        </is>
      </c>
      <c r="E56" t="n">
        <v>147</v>
      </c>
      <c r="F56" t="n">
        <v>210</v>
      </c>
      <c r="G56" t="n">
        <v>184</v>
      </c>
      <c r="H56" t="n">
        <v>173</v>
      </c>
      <c r="I56" t="n">
        <v>72</v>
      </c>
      <c r="J56" t="n">
        <v>12456</v>
      </c>
      <c r="K56" t="n">
        <v>28</v>
      </c>
      <c r="L56" t="n">
        <v>8</v>
      </c>
      <c r="M56" t="n">
        <v>172</v>
      </c>
      <c r="N56" t="n">
        <v>49</v>
      </c>
      <c r="O56" t="n">
        <v>221</v>
      </c>
      <c r="P56" t="n">
        <v>-48</v>
      </c>
      <c r="Q56" t="inlineStr">
        <is>
          <t>Below Reorder Point</t>
        </is>
      </c>
    </row>
    <row r="57">
      <c r="A57" t="n">
        <v>54</v>
      </c>
      <c r="B57" t="inlineStr">
        <is>
          <t>Jun-2023</t>
        </is>
      </c>
      <c r="C57" t="inlineStr">
        <is>
          <t>Copper</t>
        </is>
      </c>
      <c r="D57" t="inlineStr">
        <is>
          <t>West</t>
        </is>
      </c>
      <c r="E57" t="n">
        <v>168</v>
      </c>
      <c r="F57" t="n">
        <v>241</v>
      </c>
      <c r="G57" t="n">
        <v>211</v>
      </c>
      <c r="H57" t="n">
        <v>198</v>
      </c>
      <c r="I57" t="n">
        <v>72</v>
      </c>
      <c r="J57" t="n">
        <v>14256</v>
      </c>
      <c r="K57" t="n">
        <v>28</v>
      </c>
      <c r="L57" t="n">
        <v>8</v>
      </c>
      <c r="M57" t="n">
        <v>197</v>
      </c>
      <c r="N57" t="n">
        <v>56</v>
      </c>
      <c r="O57" t="n">
        <v>253</v>
      </c>
      <c r="P57" t="n">
        <v>-55</v>
      </c>
      <c r="Q57" t="inlineStr">
        <is>
          <t>Below Reorder 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Tutorial Assignment Tasks</t>
        </is>
      </c>
    </row>
    <row r="2"/>
    <row r="3">
      <c r="A3" s="2" t="inlineStr">
        <is>
          <t>Task_ID</t>
        </is>
      </c>
      <c r="B3" s="2" t="inlineStr">
        <is>
          <t>Task</t>
        </is>
      </c>
      <c r="C3" s="2" t="inlineStr">
        <is>
          <t>Expected_Output</t>
        </is>
      </c>
    </row>
    <row r="4">
      <c r="A4" t="n">
        <v>1</v>
      </c>
      <c r="B4" t="inlineStr">
        <is>
          <t>Calculate total purchases by raw material.</t>
        </is>
      </c>
      <c r="C4" t="inlineStr">
        <is>
          <t>Material purchase summary</t>
        </is>
      </c>
    </row>
    <row r="5">
      <c r="A5" t="n">
        <v>2</v>
      </c>
      <c r="B5" t="inlineStr">
        <is>
          <t>Calculate total material usage by raw material.</t>
        </is>
      </c>
      <c r="C5" t="inlineStr">
        <is>
          <t>Material usage summary</t>
        </is>
      </c>
    </row>
    <row r="6">
      <c r="A6" t="n">
        <v>3</v>
      </c>
      <c r="B6" t="inlineStr">
        <is>
          <t>Calculate average closing inventory by raw material.</t>
        </is>
      </c>
      <c r="C6" t="inlineStr">
        <is>
          <t>Average inventory table</t>
        </is>
      </c>
    </row>
    <row r="7">
      <c r="A7" t="n">
        <v>4</v>
      </c>
      <c r="B7" t="inlineStr">
        <is>
          <t>Calculate average inventory value by raw material.</t>
        </is>
      </c>
      <c r="C7" t="inlineStr">
        <is>
          <t>Average inventory-value table</t>
        </is>
      </c>
    </row>
    <row r="8">
      <c r="A8" t="n">
        <v>5</v>
      </c>
      <c r="B8" t="inlineStr">
        <is>
          <t>Identify the material with the highest total usage.</t>
        </is>
      </c>
      <c r="C8" t="inlineStr">
        <is>
          <t>Named material + supporting value</t>
        </is>
      </c>
    </row>
    <row r="9">
      <c r="A9" t="n">
        <v>6</v>
      </c>
      <c r="B9" t="inlineStr">
        <is>
          <t>Calculate monthly purchases.</t>
        </is>
      </c>
      <c r="C9" t="inlineStr">
        <is>
          <t>Monthly purchase table</t>
        </is>
      </c>
    </row>
    <row r="10">
      <c r="A10" t="n">
        <v>7</v>
      </c>
      <c r="B10" t="inlineStr">
        <is>
          <t>Calculate monthly material usage.</t>
        </is>
      </c>
      <c r="C10" t="inlineStr">
        <is>
          <t>Monthly usage table</t>
        </is>
      </c>
    </row>
    <row r="11">
      <c r="A11" t="n">
        <v>8</v>
      </c>
      <c r="B11" t="inlineStr">
        <is>
          <t>Calculate monthly closing inventory.</t>
        </is>
      </c>
      <c r="C11" t="inlineStr">
        <is>
          <t>Monthly inventory table</t>
        </is>
      </c>
    </row>
    <row r="12">
      <c r="A12" t="n">
        <v>9</v>
      </c>
      <c r="B12" t="inlineStr">
        <is>
          <t>Compare regional average closing inventory.</t>
        </is>
      </c>
      <c r="C12" t="inlineStr">
        <is>
          <t>Regional comparison</t>
        </is>
      </c>
    </row>
    <row r="13">
      <c r="A13" t="n">
        <v>10</v>
      </c>
      <c r="B13" t="inlineStr">
        <is>
          <t>Calculate lead-time demand by material.</t>
        </is>
      </c>
      <c r="C13" t="inlineStr">
        <is>
          <t>Lead-time demand table</t>
        </is>
      </c>
    </row>
    <row r="14">
      <c r="A14" t="n">
        <v>11</v>
      </c>
      <c r="B14" t="inlineStr">
        <is>
          <t>Calculate reorder point by material.</t>
        </is>
      </c>
      <c r="C14" t="inlineStr">
        <is>
          <t>Reorder-point table</t>
        </is>
      </c>
    </row>
    <row r="15">
      <c r="A15" t="n">
        <v>12</v>
      </c>
      <c r="B15" t="inlineStr">
        <is>
          <t>Calculate inventory gap by material.</t>
        </is>
      </c>
      <c r="C15" t="inlineStr">
        <is>
          <t>Inventory-gap table</t>
        </is>
      </c>
    </row>
    <row r="16">
      <c r="A16" t="n">
        <v>13</v>
      </c>
      <c r="B16" t="inlineStr">
        <is>
          <t>Classify records by stock status.</t>
        </is>
      </c>
      <c r="C16" t="inlineStr">
        <is>
          <t>Status count/table</t>
        </is>
      </c>
    </row>
    <row r="17">
      <c r="A17" t="n">
        <v>14</v>
      </c>
      <c r="B17" t="inlineStr">
        <is>
          <t>Prepare three business insights from the analysis.</t>
        </is>
      </c>
      <c r="C17" t="inlineStr">
        <is>
          <t>Three evidence-based observations</t>
        </is>
      </c>
    </row>
    <row r="18">
      <c r="A18" t="n">
        <v>15</v>
      </c>
      <c r="B18" t="inlineStr">
        <is>
          <t>Prepare a short management presentation using the dashboard.</t>
        </is>
      </c>
      <c r="C18" t="inlineStr">
        <is>
          <t>5-slide presentation outline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Expected Analysis Approach</t>
        </is>
      </c>
    </row>
    <row r="2"/>
    <row r="3">
      <c r="A3" s="2" t="inlineStr">
        <is>
          <t>Task_ID</t>
        </is>
      </c>
      <c r="B3" s="2" t="inlineStr">
        <is>
          <t>Expected_Approach</t>
        </is>
      </c>
    </row>
    <row r="4">
      <c r="A4" t="n">
        <v>1</v>
      </c>
      <c r="B4" t="inlineStr">
        <is>
          <t>Group by Raw_Material and sum Purchases.</t>
        </is>
      </c>
    </row>
    <row r="5">
      <c r="A5" t="n">
        <v>2</v>
      </c>
      <c r="B5" t="inlineStr">
        <is>
          <t>Group by Raw_Material and sum Material_Usage.</t>
        </is>
      </c>
    </row>
    <row r="6">
      <c r="A6" t="n">
        <v>3</v>
      </c>
      <c r="B6" t="inlineStr">
        <is>
          <t>Group by Raw_Material and average Closing_Inventory.</t>
        </is>
      </c>
    </row>
    <row r="7">
      <c r="A7" t="n">
        <v>4</v>
      </c>
      <c r="B7" t="inlineStr">
        <is>
          <t>Group by Raw_Material and average Inventory_Value.</t>
        </is>
      </c>
    </row>
    <row r="8">
      <c r="A8" t="n">
        <v>5</v>
      </c>
      <c r="B8" t="inlineStr">
        <is>
          <t>Compare the material-level Material_Usage totals.</t>
        </is>
      </c>
    </row>
    <row r="9">
      <c r="A9" t="n">
        <v>6</v>
      </c>
      <c r="B9" t="inlineStr">
        <is>
          <t>Group by Month and sum Purchases.</t>
        </is>
      </c>
    </row>
    <row r="10">
      <c r="A10" t="n">
        <v>7</v>
      </c>
      <c r="B10" t="inlineStr">
        <is>
          <t>Group by Month and sum Material_Usage.</t>
        </is>
      </c>
    </row>
    <row r="11">
      <c r="A11" t="n">
        <v>8</v>
      </c>
      <c r="B11" t="inlineStr">
        <is>
          <t>Group by Month and sum Closing_Inventory.</t>
        </is>
      </c>
    </row>
    <row r="12">
      <c r="A12" t="n">
        <v>9</v>
      </c>
      <c r="B12" t="inlineStr">
        <is>
          <t>Group by Region and average Closing_Inventory.</t>
        </is>
      </c>
    </row>
    <row r="13">
      <c r="A13" t="n">
        <v>10</v>
      </c>
      <c r="B13" t="inlineStr">
        <is>
          <t>Average Daily Usage × Lead Time.</t>
        </is>
      </c>
    </row>
    <row r="14">
      <c r="A14" t="n">
        <v>11</v>
      </c>
      <c r="B14" t="inlineStr">
        <is>
          <t>Lead-Time Demand + Safety Stock.</t>
        </is>
      </c>
    </row>
    <row r="15">
      <c r="A15" t="n">
        <v>12</v>
      </c>
      <c r="B15" t="inlineStr">
        <is>
          <t>Closing Inventory − Reorder Point.</t>
        </is>
      </c>
    </row>
    <row r="16">
      <c r="A16" t="n">
        <v>13</v>
      </c>
      <c r="B16" t="inlineStr">
        <is>
          <t>Negative gap = Below Reorder Point; otherwise At/Above Reorder Point.</t>
        </is>
      </c>
    </row>
    <row r="17">
      <c r="A17" t="n">
        <v>14</v>
      </c>
      <c r="B17" t="inlineStr">
        <is>
          <t>Use tables and charts as evidence; do not rely on unsupported assumptions.</t>
        </is>
      </c>
    </row>
    <row r="18">
      <c r="A18" t="n">
        <v>15</v>
      </c>
      <c r="B18" t="inlineStr">
        <is>
          <t>Context → Data → Inventory → Reorder → Insights.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3" customWidth="1" min="3" max="3"/>
    <col width="23" customWidth="1" min="4" max="4"/>
    <col width="21" customWidth="1" min="5" max="5"/>
    <col width="22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Raw Material Analysis</t>
        </is>
      </c>
    </row>
    <row r="2"/>
    <row r="3">
      <c r="A3" s="2" t="inlineStr">
        <is>
          <t>Raw_Material</t>
        </is>
      </c>
      <c r="B3" s="2" t="inlineStr">
        <is>
          <t>Total_Purchases</t>
        </is>
      </c>
      <c r="C3" s="2" t="inlineStr">
        <is>
          <t>Total_Usage</t>
        </is>
      </c>
      <c r="D3" s="2" t="inlineStr">
        <is>
          <t>Avg_Closing_Inventory</t>
        </is>
      </c>
      <c r="E3" s="2" t="inlineStr">
        <is>
          <t>Avg_Inventory_Value</t>
        </is>
      </c>
      <c r="F3" s="2" t="inlineStr">
        <is>
          <t>Avg_Lead_Time_Demand</t>
        </is>
      </c>
      <c r="G3" s="2" t="inlineStr">
        <is>
          <t>Avg_Safety_Stock</t>
        </is>
      </c>
      <c r="H3" s="2" t="inlineStr">
        <is>
          <t>Avg_Reorder_Point</t>
        </is>
      </c>
      <c r="I3" s="2" t="inlineStr">
        <is>
          <t>Avg_Inventory_Gap</t>
        </is>
      </c>
    </row>
    <row r="4">
      <c r="A4" t="inlineStr">
        <is>
          <t>Aluminium</t>
        </is>
      </c>
      <c r="B4" t="n">
        <v>5607</v>
      </c>
      <c r="C4" t="n">
        <v>4859</v>
      </c>
      <c r="D4" t="n">
        <v>258.8888888888889</v>
      </c>
      <c r="E4" t="n">
        <v>14238.88888888889</v>
      </c>
      <c r="F4" t="n">
        <v>314.8888888888889</v>
      </c>
      <c r="G4" t="n">
        <v>89.94444444444444</v>
      </c>
      <c r="H4" t="n">
        <v>404.8333333333333</v>
      </c>
      <c r="I4" t="n">
        <v>-145.9444444444445</v>
      </c>
    </row>
    <row r="5">
      <c r="A5" t="inlineStr">
        <is>
          <t>Copper</t>
        </is>
      </c>
      <c r="B5" t="n">
        <v>4051</v>
      </c>
      <c r="C5" t="n">
        <v>3552</v>
      </c>
      <c r="D5" t="n">
        <v>184.7222222222222</v>
      </c>
      <c r="E5" t="n">
        <v>13300</v>
      </c>
      <c r="F5" t="n">
        <v>184.1666666666667</v>
      </c>
      <c r="G5" t="n">
        <v>52.66666666666666</v>
      </c>
      <c r="H5" t="n">
        <v>236.8333333333333</v>
      </c>
      <c r="I5" t="n">
        <v>-52.11111111111111</v>
      </c>
    </row>
    <row r="6">
      <c r="A6" t="inlineStr">
        <is>
          <t>Steel</t>
        </is>
      </c>
      <c r="B6" t="n">
        <v>7478</v>
      </c>
      <c r="C6" t="n">
        <v>6544</v>
      </c>
      <c r="D6" t="n">
        <v>341.8888888888889</v>
      </c>
      <c r="E6" t="n">
        <v>12991.77777777778</v>
      </c>
      <c r="F6" t="n">
        <v>509.1111111111111</v>
      </c>
      <c r="G6" t="n">
        <v>145.5555555555555</v>
      </c>
      <c r="H6" t="n">
        <v>654.6666666666666</v>
      </c>
      <c r="I6" t="n">
        <v>-312.7777777777778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9" customWidth="1" min="4" max="4"/>
    <col width="17" customWidth="1" min="5" max="5"/>
    <col width="18" customWidth="1" min="6" max="6"/>
    <col width="15" customWidth="1" min="7" max="7"/>
  </cols>
  <sheetData>
    <row r="1">
      <c r="A1" s="1" t="inlineStr">
        <is>
          <t>Monthly Analysis</t>
        </is>
      </c>
    </row>
    <row r="2"/>
    <row r="3">
      <c r="A3" s="2" t="inlineStr">
        <is>
          <t>Month</t>
        </is>
      </c>
      <c r="B3" s="2" t="inlineStr">
        <is>
          <t>Purchases</t>
        </is>
      </c>
      <c r="C3" s="2" t="inlineStr">
        <is>
          <t>Material_Usage</t>
        </is>
      </c>
      <c r="D3" s="2" t="inlineStr">
        <is>
          <t>Closing_Inventory</t>
        </is>
      </c>
      <c r="E3" s="2" t="inlineStr">
        <is>
          <t>Inventory_Value</t>
        </is>
      </c>
      <c r="F3" s="2" t="inlineStr">
        <is>
          <t>Lead_Time_Demand</t>
        </is>
      </c>
      <c r="G3" s="2" t="inlineStr">
        <is>
          <t>Reorder_Point</t>
        </is>
      </c>
    </row>
    <row r="4">
      <c r="A4" t="inlineStr">
        <is>
          <t>Jan-2023</t>
        </is>
      </c>
      <c r="B4" t="n">
        <v>2769</v>
      </c>
      <c r="C4" t="n">
        <v>2416</v>
      </c>
      <c r="D4" t="n">
        <v>2346</v>
      </c>
      <c r="E4" t="n">
        <v>121057</v>
      </c>
      <c r="F4" t="n">
        <v>2931</v>
      </c>
      <c r="G4" t="n">
        <v>3770</v>
      </c>
    </row>
    <row r="5">
      <c r="A5" t="inlineStr">
        <is>
          <t>Feb-2023</t>
        </is>
      </c>
      <c r="B5" t="n">
        <v>2878</v>
      </c>
      <c r="C5" t="n">
        <v>2512</v>
      </c>
      <c r="D5" t="n">
        <v>2359</v>
      </c>
      <c r="E5" t="n">
        <v>121704</v>
      </c>
      <c r="F5" t="n">
        <v>3049</v>
      </c>
      <c r="G5" t="n">
        <v>3921</v>
      </c>
    </row>
    <row r="6">
      <c r="A6" t="inlineStr">
        <is>
          <t>Mar-2023</t>
        </is>
      </c>
      <c r="B6" t="n">
        <v>2686</v>
      </c>
      <c r="C6" t="n">
        <v>2343</v>
      </c>
      <c r="D6" t="n">
        <v>2336</v>
      </c>
      <c r="E6" t="n">
        <v>120558</v>
      </c>
      <c r="F6" t="n">
        <v>2843</v>
      </c>
      <c r="G6" t="n">
        <v>3656</v>
      </c>
    </row>
    <row r="7">
      <c r="A7" t="inlineStr">
        <is>
          <t>Apr-2023</t>
        </is>
      </c>
      <c r="B7" t="n">
        <v>2935</v>
      </c>
      <c r="C7" t="n">
        <v>2562</v>
      </c>
      <c r="D7" t="n">
        <v>2366</v>
      </c>
      <c r="E7" t="n">
        <v>122089</v>
      </c>
      <c r="F7" t="n">
        <v>3108</v>
      </c>
      <c r="G7" t="n">
        <v>3995</v>
      </c>
    </row>
    <row r="8">
      <c r="A8" t="inlineStr">
        <is>
          <t>May-2023</t>
        </is>
      </c>
      <c r="B8" t="n">
        <v>3017</v>
      </c>
      <c r="C8" t="n">
        <v>2634</v>
      </c>
      <c r="D8" t="n">
        <v>2376</v>
      </c>
      <c r="E8" t="n">
        <v>122588</v>
      </c>
      <c r="F8" t="n">
        <v>3196</v>
      </c>
      <c r="G8" t="n">
        <v>4110</v>
      </c>
    </row>
    <row r="9">
      <c r="A9" t="inlineStr">
        <is>
          <t>Jun-2023</t>
        </is>
      </c>
      <c r="B9" t="n">
        <v>2851</v>
      </c>
      <c r="C9" t="n">
        <v>2488</v>
      </c>
      <c r="D9" t="n">
        <v>2356</v>
      </c>
      <c r="E9" t="n">
        <v>121556</v>
      </c>
      <c r="F9" t="n">
        <v>3020</v>
      </c>
      <c r="G9" t="n">
        <v>3882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23" customWidth="1" min="4" max="4"/>
    <col width="21" customWidth="1" min="5" max="5"/>
    <col width="22" customWidth="1" min="6" max="6"/>
    <col width="20" customWidth="1" min="7" max="7"/>
    <col width="21" customWidth="1" min="8" max="8"/>
  </cols>
  <sheetData>
    <row r="1">
      <c r="A1" s="1" t="inlineStr">
        <is>
          <t>Regional Analysis</t>
        </is>
      </c>
    </row>
    <row r="2"/>
    <row r="3">
      <c r="A3" s="2" t="inlineStr">
        <is>
          <t>Region</t>
        </is>
      </c>
      <c r="B3" s="2" t="inlineStr">
        <is>
          <t>Purchases</t>
        </is>
      </c>
      <c r="C3" s="2" t="inlineStr">
        <is>
          <t>Material_Usage</t>
        </is>
      </c>
      <c r="D3" s="2" t="inlineStr">
        <is>
          <t>Avg_Closing_Inventory</t>
        </is>
      </c>
      <c r="E3" s="2" t="inlineStr">
        <is>
          <t>Avg_Inventory_Value</t>
        </is>
      </c>
      <c r="F3" s="2" t="inlineStr">
        <is>
          <t>Avg_Lead_Time_Demand</t>
        </is>
      </c>
      <c r="G3" s="2" t="inlineStr">
        <is>
          <t>Avg_Reorder_Point</t>
        </is>
      </c>
      <c r="H3" s="2" t="inlineStr">
        <is>
          <t>Avg_Inventory_Gap</t>
        </is>
      </c>
    </row>
    <row r="4">
      <c r="A4" t="inlineStr">
        <is>
          <t>North</t>
        </is>
      </c>
      <c r="B4" t="n">
        <v>5674</v>
      </c>
      <c r="C4" t="n">
        <v>4952</v>
      </c>
      <c r="D4" t="n">
        <v>260.1111111111111</v>
      </c>
      <c r="E4" t="n">
        <v>13422.11111111111</v>
      </c>
      <c r="F4" t="n">
        <v>333.8333333333333</v>
      </c>
      <c r="G4" t="n">
        <v>429.2222222222222</v>
      </c>
      <c r="H4" t="n">
        <v>-169.1111111111111</v>
      </c>
    </row>
    <row r="5">
      <c r="A5" t="inlineStr">
        <is>
          <t>South</t>
        </is>
      </c>
      <c r="B5" t="n">
        <v>5335</v>
      </c>
      <c r="C5" t="n">
        <v>4655</v>
      </c>
      <c r="D5" t="n">
        <v>244.7777777777778</v>
      </c>
      <c r="E5" t="n">
        <v>12632.61111111111</v>
      </c>
      <c r="F5" t="n">
        <v>313.8333333333333</v>
      </c>
      <c r="G5" t="n">
        <v>403.6111111111111</v>
      </c>
      <c r="H5" t="n">
        <v>-158.8333333333333</v>
      </c>
    </row>
    <row r="6">
      <c r="A6" t="inlineStr">
        <is>
          <t>West</t>
        </is>
      </c>
      <c r="B6" t="n">
        <v>6127</v>
      </c>
      <c r="C6" t="n">
        <v>5348</v>
      </c>
      <c r="D6" t="n">
        <v>280.6111111111111</v>
      </c>
      <c r="E6" t="n">
        <v>14475.94444444445</v>
      </c>
      <c r="F6" t="n">
        <v>360.5</v>
      </c>
      <c r="G6" t="n">
        <v>463.5</v>
      </c>
      <c r="H6" t="n">
        <v>-182.8888888888889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Stock Status Summary</t>
        </is>
      </c>
    </row>
    <row r="2"/>
    <row r="3">
      <c r="A3" s="2" t="inlineStr">
        <is>
          <t>Stock_Status</t>
        </is>
      </c>
      <c r="B3" s="2" t="inlineStr">
        <is>
          <t>Records</t>
        </is>
      </c>
    </row>
    <row r="4">
      <c r="A4" t="inlineStr">
        <is>
          <t>Below Reorder Point</t>
        </is>
      </c>
      <c r="B4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3" t="inlineStr">
        <is>
          <t>Material</t>
        </is>
      </c>
      <c r="B1" s="3" t="inlineStr">
        <is>
          <t>Total Purchases</t>
        </is>
      </c>
      <c r="C1" s="3" t="inlineStr">
        <is>
          <t>Total Usage</t>
        </is>
      </c>
      <c r="D1" s="3" t="inlineStr">
        <is>
          <t>Avg Closing Inventory</t>
        </is>
      </c>
      <c r="E1" s="3" t="inlineStr">
        <is>
          <t>Avg Inventory Value</t>
        </is>
      </c>
      <c r="F1" s="3" t="inlineStr">
        <is>
          <t>Avg Lead-Time Demand</t>
        </is>
      </c>
      <c r="G1" s="3" t="inlineStr">
        <is>
          <t>Avg Safety Stock</t>
        </is>
      </c>
      <c r="H1" s="3" t="inlineStr">
        <is>
          <t>Avg Reorder Point</t>
        </is>
      </c>
      <c r="I1" s="3" t="inlineStr">
        <is>
          <t>Avg Inventory Gap</t>
        </is>
      </c>
      <c r="J1" s="3" t="inlineStr">
        <is>
          <t>Status</t>
        </is>
      </c>
    </row>
    <row r="2">
      <c r="A2" t="inlineStr">
        <is>
          <t>Steel</t>
        </is>
      </c>
      <c r="B2">
        <f>SUMIF(Tutorial_Data!$C:$C,A2,Tutorial_Data!$F:$F)</f>
        <v/>
      </c>
      <c r="C2">
        <f>SUMIF(Tutorial_Data!$C:$C,A2,Tutorial_Data!$G:$G)</f>
        <v/>
      </c>
      <c r="D2">
        <f>AVERAGEIF(Tutorial_Data!$C:$C,A2,Tutorial_Data!$H:$H)</f>
        <v/>
      </c>
      <c r="E2">
        <f>AVERAGEIF(Tutorial_Data!$C:$C,A2,Tutorial_Data!$J:$J)</f>
        <v/>
      </c>
      <c r="F2">
        <f>AVERAGEIF(Tutorial_Data!$C:$C,A2,Tutorial_Data!$M:$M)</f>
        <v/>
      </c>
      <c r="G2">
        <f>AVERAGEIF(Tutorial_Data!$C:$C,A2,Tutorial_Data!$N:$N)</f>
        <v/>
      </c>
      <c r="H2">
        <f>AVERAGEIF(Tutorial_Data!$C:$C,A2,Tutorial_Data!$O:$O)</f>
        <v/>
      </c>
      <c r="I2">
        <f>AVERAGEIF(Tutorial_Data!$C:$C,A2,Tutorial_Data!$P:$P)</f>
        <v/>
      </c>
      <c r="J2">
        <f>IF(I2&lt;0,"Below Reorder Point","At/Above Reorder Point")</f>
        <v/>
      </c>
    </row>
    <row r="3">
      <c r="A3" t="inlineStr">
        <is>
          <t>Aluminium</t>
        </is>
      </c>
      <c r="B3">
        <f>SUMIF(Tutorial_Data!$C:$C,A3,Tutorial_Data!$F:$F)</f>
        <v/>
      </c>
      <c r="C3">
        <f>SUMIF(Tutorial_Data!$C:$C,A3,Tutorial_Data!$G:$G)</f>
        <v/>
      </c>
      <c r="D3">
        <f>AVERAGEIF(Tutorial_Data!$C:$C,A3,Tutorial_Data!$H:$H)</f>
        <v/>
      </c>
      <c r="E3">
        <f>AVERAGEIF(Tutorial_Data!$C:$C,A3,Tutorial_Data!$J:$J)</f>
        <v/>
      </c>
      <c r="F3">
        <f>AVERAGEIF(Tutorial_Data!$C:$C,A3,Tutorial_Data!$M:$M)</f>
        <v/>
      </c>
      <c r="G3">
        <f>AVERAGEIF(Tutorial_Data!$C:$C,A3,Tutorial_Data!$N:$N)</f>
        <v/>
      </c>
      <c r="H3">
        <f>AVERAGEIF(Tutorial_Data!$C:$C,A3,Tutorial_Data!$O:$O)</f>
        <v/>
      </c>
      <c r="I3">
        <f>AVERAGEIF(Tutorial_Data!$C:$C,A3,Tutorial_Data!$P:$P)</f>
        <v/>
      </c>
      <c r="J3">
        <f>IF(I3&lt;0,"Below Reorder Point","At/Above Reorder Point")</f>
        <v/>
      </c>
    </row>
    <row r="4">
      <c r="A4" t="inlineStr">
        <is>
          <t>Copper</t>
        </is>
      </c>
      <c r="B4">
        <f>SUMIF(Tutorial_Data!$C:$C,A4,Tutorial_Data!$F:$F)</f>
        <v/>
      </c>
      <c r="C4">
        <f>SUMIF(Tutorial_Data!$C:$C,A4,Tutorial_Data!$G:$G)</f>
        <v/>
      </c>
      <c r="D4">
        <f>AVERAGEIF(Tutorial_Data!$C:$C,A4,Tutorial_Data!$H:$H)</f>
        <v/>
      </c>
      <c r="E4">
        <f>AVERAGEIF(Tutorial_Data!$C:$C,A4,Tutorial_Data!$J:$J)</f>
        <v/>
      </c>
      <c r="F4">
        <f>AVERAGEIF(Tutorial_Data!$C:$C,A4,Tutorial_Data!$M:$M)</f>
        <v/>
      </c>
      <c r="G4">
        <f>AVERAGEIF(Tutorial_Data!$C:$C,A4,Tutorial_Data!$N:$N)</f>
        <v/>
      </c>
      <c r="H4">
        <f>AVERAGEIF(Tutorial_Data!$C:$C,A4,Tutorial_Data!$O:$O)</f>
        <v/>
      </c>
      <c r="I4">
        <f>AVERAGEIF(Tutorial_Data!$C:$C,A4,Tutorial_Data!$P:$P)</f>
        <v/>
      </c>
      <c r="J4">
        <f>IF(I4&lt;0,"Below Reorder Point","At/Above Reorder Point")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Tutorial Assignment Submission Checklist</t>
        </is>
      </c>
    </row>
    <row r="2"/>
    <row r="3">
      <c r="A3" s="2" t="inlineStr">
        <is>
          <t>Criterion</t>
        </is>
      </c>
      <c r="B3" s="2" t="inlineStr">
        <is>
          <t>Check</t>
        </is>
      </c>
    </row>
    <row r="4">
      <c r="A4" t="inlineStr">
        <is>
          <t>Data preparation</t>
        </is>
      </c>
      <c r="B4" t="inlineStr">
        <is>
          <t>Dataset reviewed and fields understood</t>
        </is>
      </c>
    </row>
    <row r="5">
      <c r="A5" t="inlineStr">
        <is>
          <t>Formula accuracy</t>
        </is>
      </c>
      <c r="B5" t="inlineStr">
        <is>
          <t>Lead-time and reorder formulas are correct</t>
        </is>
      </c>
    </row>
    <row r="6">
      <c r="A6" t="inlineStr">
        <is>
          <t>Material analysis</t>
        </is>
      </c>
      <c r="B6" t="inlineStr">
        <is>
          <t>Material summaries completed</t>
        </is>
      </c>
    </row>
    <row r="7">
      <c r="A7" t="inlineStr">
        <is>
          <t>Monthly analysis</t>
        </is>
      </c>
      <c r="B7" t="inlineStr">
        <is>
          <t>Monthly summaries completed</t>
        </is>
      </c>
    </row>
    <row r="8">
      <c r="A8" t="inlineStr">
        <is>
          <t>Regional analysis</t>
        </is>
      </c>
      <c r="B8" t="inlineStr">
        <is>
          <t>Regional comparison completed</t>
        </is>
      </c>
    </row>
    <row r="9">
      <c r="A9" t="inlineStr">
        <is>
          <t>Inventory interpretation</t>
        </is>
      </c>
      <c r="B9" t="inlineStr">
        <is>
          <t>Inventory gap and stock status interpreted</t>
        </is>
      </c>
    </row>
    <row r="10">
      <c r="A10" t="inlineStr">
        <is>
          <t>Visualization</t>
        </is>
      </c>
      <c r="B10" t="inlineStr">
        <is>
          <t>Charts are readable and relevant</t>
        </is>
      </c>
    </row>
    <row r="11">
      <c r="A11" t="inlineStr">
        <is>
          <t>Business insights</t>
        </is>
      </c>
      <c r="B11" t="inlineStr">
        <is>
          <t>Insights are supported by data</t>
        </is>
      </c>
    </row>
    <row r="12">
      <c r="A12" t="inlineStr">
        <is>
          <t>Presentation structure</t>
        </is>
      </c>
      <c r="B12" t="inlineStr">
        <is>
          <t>Clear beginning, analysis and conclusion</t>
        </is>
      </c>
    </row>
    <row r="13">
      <c r="A13" t="inlineStr">
        <is>
          <t>Documentation</t>
        </is>
      </c>
      <c r="B13" t="inlineStr">
        <is>
          <t>Files and assumptions documented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Day 057 — W8_L10 Tutorial Assignment</t>
        </is>
      </c>
    </row>
    <row r="2">
      <c r="A2" t="inlineStr">
        <is>
          <t>Illustrative tutorial dataset | Use the dashboard to support your assignment presentation.</t>
        </is>
      </c>
    </row>
    <row r="37">
      <c r="A37" s="5" t="inlineStr">
        <is>
          <t>Presentation Guidance</t>
        </is>
      </c>
    </row>
    <row r="38">
      <c r="A38" s="6" t="inlineStr">
        <is>
          <t>Use the charts and summary tables as evidence. Explain the observation first, then the business meaning. Avoid unsupported conclusions.</t>
        </is>
      </c>
    </row>
    <row r="39"/>
    <row r="40"/>
  </sheetData>
  <mergeCells count="1">
    <mergeCell ref="A38:N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2026-09-16T07:34:48Z</dcterms:created>
  <dcterms:modified xmlns:dcterms="http://purl.org/dc/terms/" xmlns:xsi="http://www.w3.org/2001/XMLSchema-instance" xsi:type="dcterms:W3CDTF">2026-09-16T07:34:48Z</dcterms:modified>
</cp:coreProperties>
</file>