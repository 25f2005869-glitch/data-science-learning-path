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ability_Working_Data" sheetId="1" state="visible" r:id="rId1"/>
    <sheet xmlns:r="http://schemas.openxmlformats.org/officeDocument/2006/relationships" name="Unit_Cost_Working" sheetId="2" state="visible" r:id="rId2"/>
    <sheet xmlns:r="http://schemas.openxmlformats.org/officeDocument/2006/relationships" name="Revenue_Working" sheetId="3" state="visible" r:id="rId3"/>
    <sheet xmlns:r="http://schemas.openxmlformats.org/officeDocument/2006/relationships" name="Profit_Working" sheetId="4" state="visible" r:id="rId4"/>
    <sheet xmlns:r="http://schemas.openxmlformats.org/officeDocument/2006/relationships" name="Product_Profitability" sheetId="5" state="visible" r:id="rId5"/>
    <sheet xmlns:r="http://schemas.openxmlformats.org/officeDocument/2006/relationships" name="Monthly_Profitability" sheetId="6" state="visible" r:id="rId6"/>
    <sheet xmlns:r="http://schemas.openxmlformats.org/officeDocument/2006/relationships" name="Region_Profitability" sheetId="7" state="visible" r:id="rId7"/>
    <sheet xmlns:r="http://schemas.openxmlformats.org/officeDocument/2006/relationships" name="Cost_Component_Analysis" sheetId="8" state="visible" r:id="rId8"/>
    <sheet xmlns:r="http://schemas.openxmlformats.org/officeDocument/2006/relationships" name="Profitability_Questions" sheetId="9" state="visible" r:id="rId9"/>
    <sheet xmlns:r="http://schemas.openxmlformats.org/officeDocument/2006/relationships" name="Business_Insights" sheetId="10" state="visible" r:id="rId10"/>
    <sheet xmlns:r="http://schemas.openxmlformats.org/officeDocument/2006/relationships" name="Data_Dictionary" sheetId="11" state="visible" r:id="rId11"/>
    <sheet xmlns:r="http://schemas.openxmlformats.org/officeDocument/2006/relationships" name="Profitability_Working" sheetId="12" state="visible" r:id="rId12"/>
    <sheet xmlns:r="http://schemas.openxmlformats.org/officeDocument/2006/relationships" name="Instructions" sheetId="13" state="visible" r:id="rId13"/>
    <sheet xmlns:r="http://schemas.openxmlformats.org/officeDocument/2006/relationships" name="Profitability_Dashboar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  <font>
      <i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1" fillId="2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Unit Profit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'Unit_Cost_Working'!D1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'Unit_Cost_Working'!$A$2:$A$4</f>
            </numRef>
          </cat>
          <val>
            <numRef>
              <f>'Unit_Cost_Working'!$D$2:$D$4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 Profit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Gross Profit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'Monthly_Profitability'!E1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'Monthly_Profitability'!$A$2:$A$7</f>
            </numRef>
          </cat>
          <val>
            <numRef>
              <f>'Monthly_Profitability'!$E$2:$E$7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Gross Profit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Components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'Cost_Component_Analysis'!B1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'Cost_Component_Analysis'!$A$2:$A$4</f>
            </numRef>
          </cat>
          <val>
            <numRef>
              <f>'Cost_Component_Analysis'!$B$2:$B$4</f>
            </numRef>
          </val>
        </ser>
        <ser>
          <idx val="1"/>
          <order val="1"/>
          <tx>
            <strRef>
              <f>'Cost_Component_Analysis'!C1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'Cost_Component_Analysis'!$A$2:$A$4</f>
            </numRef>
          </cat>
          <val>
            <numRef>
              <f>'Cost_Component_Analysis'!$C$2:$C$4</f>
            </numRef>
          </val>
        </ser>
        <ser>
          <idx val="2"/>
          <order val="2"/>
          <tx>
            <strRef>
              <f>'Cost_Component_Analysis'!D1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cat>
            <numRef>
              <f>'Cost_Component_Analysis'!$A$2:$A$4</f>
            </numRef>
          </cat>
          <val>
            <numRef>
              <f>'Cost_Component_Analysis'!$D$2:$D$4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Margin %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'Product_Profitability'!J1</f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solidFill>
                <a:srgbClr val="5B9BD5"/>
              </a:solidFill>
              <a:prstDash val="solid"/>
            </a:ln>
          </spPr>
          <cat>
            <numRef>
              <f>'Product_Profitability'!$A$2:$A$4</f>
            </numRef>
          </cat>
          <val>
            <numRef>
              <f>'Product_Profitability'!$J$2:$J$4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Margin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4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20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20</row>
      <rowOff>0</rowOff>
    </from>
    <ext cx="39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2" customWidth="1" min="4" max="4"/>
    <col width="12" customWidth="1" min="5" max="5"/>
    <col width="20" customWidth="1" min="6" max="6"/>
    <col width="24" customWidth="1" min="7" max="7"/>
    <col width="22" customWidth="1" min="8" max="8"/>
    <col width="18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4" customWidth="1" min="15" max="15"/>
    <col width="16" customWidth="1" min="16" max="16"/>
    <col width="14" customWidth="1" min="17" max="17"/>
    <col width="12" customWidth="1" min="18" max="18"/>
  </cols>
  <sheetData>
    <row r="1">
      <c r="A1" s="1" t="inlineStr">
        <is>
          <t>Record_ID</t>
        </is>
      </c>
      <c r="B1" s="1" t="inlineStr">
        <is>
          <t>Month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Sales_Units</t>
        </is>
      </c>
      <c r="F1" s="1" t="inlineStr">
        <is>
          <t>Selling_Price_per_Unit</t>
        </is>
      </c>
      <c r="G1" s="1" t="inlineStr">
        <is>
          <t>Material_Cost_per_Unit</t>
        </is>
      </c>
      <c r="H1" s="1" t="inlineStr">
        <is>
          <t>Labour_Cost_per_Unit</t>
        </is>
      </c>
      <c r="I1" s="1" t="inlineStr">
        <is>
          <t>Overhead_per_Unit</t>
        </is>
      </c>
      <c r="J1" s="1" t="inlineStr">
        <is>
          <t>Revenue</t>
        </is>
      </c>
      <c r="K1" s="1" t="inlineStr">
        <is>
          <t>Material_Cost</t>
        </is>
      </c>
      <c r="L1" s="1" t="inlineStr">
        <is>
          <t>Labour_Cost</t>
        </is>
      </c>
      <c r="M1" s="1" t="inlineStr">
        <is>
          <t>Overhead_Cost</t>
        </is>
      </c>
      <c r="N1" s="1" t="inlineStr">
        <is>
          <t>Total_Cost</t>
        </is>
      </c>
      <c r="O1" s="1" t="inlineStr">
        <is>
          <t>Unit_Cost</t>
        </is>
      </c>
      <c r="P1" s="1" t="inlineStr">
        <is>
          <t>Gross_Profit</t>
        </is>
      </c>
      <c r="Q1" s="1" t="inlineStr">
        <is>
          <t>Unit_Profit</t>
        </is>
      </c>
      <c r="R1" s="1" t="inlineStr">
        <is>
          <t>Margin_%</t>
        </is>
      </c>
    </row>
    <row r="2">
      <c r="A2" s="2" t="n">
        <v>1</v>
      </c>
      <c r="B2" s="2" t="inlineStr">
        <is>
          <t>Jan-2023</t>
        </is>
      </c>
      <c r="C2" s="2" t="inlineStr">
        <is>
          <t>Gears</t>
        </is>
      </c>
      <c r="D2" s="2" t="inlineStr">
        <is>
          <t>North</t>
        </is>
      </c>
      <c r="E2" s="2" t="n">
        <v>715</v>
      </c>
      <c r="F2" s="2" t="n">
        <v>500</v>
      </c>
      <c r="G2" s="2" t="n">
        <v>230</v>
      </c>
      <c r="H2" s="2" t="n">
        <v>55</v>
      </c>
      <c r="I2" s="2" t="n">
        <v>25</v>
      </c>
      <c r="J2" s="3" t="n">
        <v>357500</v>
      </c>
      <c r="K2" s="3" t="n">
        <v>164450</v>
      </c>
      <c r="L2" s="3" t="n">
        <v>39325</v>
      </c>
      <c r="M2" s="3" t="n">
        <v>17875</v>
      </c>
      <c r="N2" s="3" t="n">
        <v>221650</v>
      </c>
      <c r="O2" s="3" t="n">
        <v>310</v>
      </c>
      <c r="P2" s="3" t="n">
        <v>135850</v>
      </c>
      <c r="Q2" s="3" t="n">
        <v>190</v>
      </c>
      <c r="R2" s="4" t="n">
        <v>0.38</v>
      </c>
    </row>
    <row r="3">
      <c r="A3" s="2" t="n">
        <v>2</v>
      </c>
      <c r="B3" s="2" t="inlineStr">
        <is>
          <t>Jan-2023</t>
        </is>
      </c>
      <c r="C3" s="2" t="inlineStr">
        <is>
          <t>Shafts</t>
        </is>
      </c>
      <c r="D3" s="2" t="inlineStr">
        <is>
          <t>North</t>
        </is>
      </c>
      <c r="E3" s="2" t="n">
        <v>667</v>
      </c>
      <c r="F3" s="2" t="n">
        <v>450</v>
      </c>
      <c r="G3" s="2" t="n">
        <v>220</v>
      </c>
      <c r="H3" s="2" t="n">
        <v>50</v>
      </c>
      <c r="I3" s="2" t="n">
        <v>22</v>
      </c>
      <c r="J3" s="3" t="n">
        <v>300150</v>
      </c>
      <c r="K3" s="3" t="n">
        <v>146740</v>
      </c>
      <c r="L3" s="3" t="n">
        <v>33350</v>
      </c>
      <c r="M3" s="3" t="n">
        <v>14674</v>
      </c>
      <c r="N3" s="3" t="n">
        <v>194764</v>
      </c>
      <c r="O3" s="3" t="n">
        <v>292</v>
      </c>
      <c r="P3" s="3" t="n">
        <v>105386</v>
      </c>
      <c r="Q3" s="3" t="n">
        <v>158</v>
      </c>
      <c r="R3" s="4" t="n">
        <v>0.3511111111111111</v>
      </c>
    </row>
    <row r="4">
      <c r="A4" s="2" t="n">
        <v>3</v>
      </c>
      <c r="B4" s="2" t="inlineStr">
        <is>
          <t>Jan-2023</t>
        </is>
      </c>
      <c r="C4" s="2" t="inlineStr">
        <is>
          <t>Bearings</t>
        </is>
      </c>
      <c r="D4" s="2" t="inlineStr">
        <is>
          <t>North</t>
        </is>
      </c>
      <c r="E4" s="2" t="n">
        <v>676</v>
      </c>
      <c r="F4" s="2" t="n">
        <v>400</v>
      </c>
      <c r="G4" s="2" t="n">
        <v>210</v>
      </c>
      <c r="H4" s="2" t="n">
        <v>48</v>
      </c>
      <c r="I4" s="2" t="n">
        <v>20</v>
      </c>
      <c r="J4" s="3" t="n">
        <v>270400</v>
      </c>
      <c r="K4" s="3" t="n">
        <v>141960</v>
      </c>
      <c r="L4" s="3" t="n">
        <v>32448</v>
      </c>
      <c r="M4" s="3" t="n">
        <v>13520</v>
      </c>
      <c r="N4" s="3" t="n">
        <v>187928</v>
      </c>
      <c r="O4" s="3" t="n">
        <v>278</v>
      </c>
      <c r="P4" s="3" t="n">
        <v>82472</v>
      </c>
      <c r="Q4" s="3" t="n">
        <v>122</v>
      </c>
      <c r="R4" s="4" t="n">
        <v>0.305</v>
      </c>
    </row>
    <row r="5">
      <c r="A5" s="2" t="n">
        <v>4</v>
      </c>
      <c r="B5" s="2" t="inlineStr">
        <is>
          <t>Jan-2023</t>
        </is>
      </c>
      <c r="C5" s="2" t="inlineStr">
        <is>
          <t>Gears</t>
        </is>
      </c>
      <c r="D5" s="2" t="inlineStr">
        <is>
          <t>South</t>
        </is>
      </c>
      <c r="E5" s="2" t="n">
        <v>647</v>
      </c>
      <c r="F5" s="2" t="n">
        <v>500</v>
      </c>
      <c r="G5" s="2" t="n">
        <v>230</v>
      </c>
      <c r="H5" s="2" t="n">
        <v>55</v>
      </c>
      <c r="I5" s="2" t="n">
        <v>25</v>
      </c>
      <c r="J5" s="3" t="n">
        <v>323500</v>
      </c>
      <c r="K5" s="3" t="n">
        <v>148810</v>
      </c>
      <c r="L5" s="3" t="n">
        <v>35585</v>
      </c>
      <c r="M5" s="3" t="n">
        <v>16175</v>
      </c>
      <c r="N5" s="3" t="n">
        <v>200570</v>
      </c>
      <c r="O5" s="3" t="n">
        <v>310</v>
      </c>
      <c r="P5" s="3" t="n">
        <v>122930</v>
      </c>
      <c r="Q5" s="3" t="n">
        <v>190</v>
      </c>
      <c r="R5" s="4" t="n">
        <v>0.38</v>
      </c>
    </row>
    <row r="6">
      <c r="A6" s="2" t="n">
        <v>5</v>
      </c>
      <c r="B6" s="2" t="inlineStr">
        <is>
          <t>Jan-2023</t>
        </is>
      </c>
      <c r="C6" s="2" t="inlineStr">
        <is>
          <t>Shafts</t>
        </is>
      </c>
      <c r="D6" s="2" t="inlineStr">
        <is>
          <t>South</t>
        </is>
      </c>
      <c r="E6" s="2" t="n">
        <v>603</v>
      </c>
      <c r="F6" s="2" t="n">
        <v>450</v>
      </c>
      <c r="G6" s="2" t="n">
        <v>220</v>
      </c>
      <c r="H6" s="2" t="n">
        <v>50</v>
      </c>
      <c r="I6" s="2" t="n">
        <v>22</v>
      </c>
      <c r="J6" s="3" t="n">
        <v>271350</v>
      </c>
      <c r="K6" s="3" t="n">
        <v>132660</v>
      </c>
      <c r="L6" s="3" t="n">
        <v>30150</v>
      </c>
      <c r="M6" s="3" t="n">
        <v>13266</v>
      </c>
      <c r="N6" s="3" t="n">
        <v>176076</v>
      </c>
      <c r="O6" s="3" t="n">
        <v>292</v>
      </c>
      <c r="P6" s="3" t="n">
        <v>95274</v>
      </c>
      <c r="Q6" s="3" t="n">
        <v>158</v>
      </c>
      <c r="R6" s="4" t="n">
        <v>0.3511111111111111</v>
      </c>
    </row>
    <row r="7">
      <c r="A7" s="2" t="n">
        <v>6</v>
      </c>
      <c r="B7" s="2" t="inlineStr">
        <is>
          <t>Jan-2023</t>
        </is>
      </c>
      <c r="C7" s="2" t="inlineStr">
        <is>
          <t>Bearings</t>
        </is>
      </c>
      <c r="D7" s="2" t="inlineStr">
        <is>
          <t>South</t>
        </is>
      </c>
      <c r="E7" s="2" t="n">
        <v>612</v>
      </c>
      <c r="F7" s="2" t="n">
        <v>400</v>
      </c>
      <c r="G7" s="2" t="n">
        <v>210</v>
      </c>
      <c r="H7" s="2" t="n">
        <v>48</v>
      </c>
      <c r="I7" s="2" t="n">
        <v>20</v>
      </c>
      <c r="J7" s="3" t="n">
        <v>244800</v>
      </c>
      <c r="K7" s="3" t="n">
        <v>128520</v>
      </c>
      <c r="L7" s="3" t="n">
        <v>29376</v>
      </c>
      <c r="M7" s="3" t="n">
        <v>12240</v>
      </c>
      <c r="N7" s="3" t="n">
        <v>170136</v>
      </c>
      <c r="O7" s="3" t="n">
        <v>278</v>
      </c>
      <c r="P7" s="3" t="n">
        <v>74664</v>
      </c>
      <c r="Q7" s="3" t="n">
        <v>122</v>
      </c>
      <c r="R7" s="4" t="n">
        <v>0.305</v>
      </c>
    </row>
    <row r="8">
      <c r="A8" s="2" t="n">
        <v>7</v>
      </c>
      <c r="B8" s="2" t="inlineStr">
        <is>
          <t>Jan-2023</t>
        </is>
      </c>
      <c r="C8" s="2" t="inlineStr">
        <is>
          <t>Gears</t>
        </is>
      </c>
      <c r="D8" s="2" t="inlineStr">
        <is>
          <t>West</t>
        </is>
      </c>
      <c r="E8" s="2" t="n">
        <v>681</v>
      </c>
      <c r="F8" s="2" t="n">
        <v>500</v>
      </c>
      <c r="G8" s="2" t="n">
        <v>230</v>
      </c>
      <c r="H8" s="2" t="n">
        <v>55</v>
      </c>
      <c r="I8" s="2" t="n">
        <v>25</v>
      </c>
      <c r="J8" s="3" t="n">
        <v>340500</v>
      </c>
      <c r="K8" s="3" t="n">
        <v>156630</v>
      </c>
      <c r="L8" s="3" t="n">
        <v>37455</v>
      </c>
      <c r="M8" s="3" t="n">
        <v>17025</v>
      </c>
      <c r="N8" s="3" t="n">
        <v>211110</v>
      </c>
      <c r="O8" s="3" t="n">
        <v>310</v>
      </c>
      <c r="P8" s="3" t="n">
        <v>129390</v>
      </c>
      <c r="Q8" s="3" t="n">
        <v>190</v>
      </c>
      <c r="R8" s="4" t="n">
        <v>0.38</v>
      </c>
    </row>
    <row r="9">
      <c r="A9" s="2" t="n">
        <v>8</v>
      </c>
      <c r="B9" s="2" t="inlineStr">
        <is>
          <t>Jan-2023</t>
        </is>
      </c>
      <c r="C9" s="2" t="inlineStr">
        <is>
          <t>Shafts</t>
        </is>
      </c>
      <c r="D9" s="2" t="inlineStr">
        <is>
          <t>West</t>
        </is>
      </c>
      <c r="E9" s="2" t="n">
        <v>635</v>
      </c>
      <c r="F9" s="2" t="n">
        <v>450</v>
      </c>
      <c r="G9" s="2" t="n">
        <v>220</v>
      </c>
      <c r="H9" s="2" t="n">
        <v>50</v>
      </c>
      <c r="I9" s="2" t="n">
        <v>22</v>
      </c>
      <c r="J9" s="3" t="n">
        <v>285750</v>
      </c>
      <c r="K9" s="3" t="n">
        <v>139700</v>
      </c>
      <c r="L9" s="3" t="n">
        <v>31750</v>
      </c>
      <c r="M9" s="3" t="n">
        <v>13970</v>
      </c>
      <c r="N9" s="3" t="n">
        <v>185420</v>
      </c>
      <c r="O9" s="3" t="n">
        <v>292</v>
      </c>
      <c r="P9" s="3" t="n">
        <v>100330</v>
      </c>
      <c r="Q9" s="3" t="n">
        <v>158</v>
      </c>
      <c r="R9" s="4" t="n">
        <v>0.3511111111111111</v>
      </c>
    </row>
    <row r="10">
      <c r="A10" s="2" t="n">
        <v>9</v>
      </c>
      <c r="B10" s="2" t="inlineStr">
        <is>
          <t>Jan-2023</t>
        </is>
      </c>
      <c r="C10" s="2" t="inlineStr">
        <is>
          <t>Bearings</t>
        </is>
      </c>
      <c r="D10" s="2" t="inlineStr">
        <is>
          <t>West</t>
        </is>
      </c>
      <c r="E10" s="2" t="n">
        <v>644</v>
      </c>
      <c r="F10" s="2" t="n">
        <v>400</v>
      </c>
      <c r="G10" s="2" t="n">
        <v>210</v>
      </c>
      <c r="H10" s="2" t="n">
        <v>48</v>
      </c>
      <c r="I10" s="2" t="n">
        <v>20</v>
      </c>
      <c r="J10" s="3" t="n">
        <v>257600</v>
      </c>
      <c r="K10" s="3" t="n">
        <v>135240</v>
      </c>
      <c r="L10" s="3" t="n">
        <v>30912</v>
      </c>
      <c r="M10" s="3" t="n">
        <v>12880</v>
      </c>
      <c r="N10" s="3" t="n">
        <v>179032</v>
      </c>
      <c r="O10" s="3" t="n">
        <v>278</v>
      </c>
      <c r="P10" s="3" t="n">
        <v>78568</v>
      </c>
      <c r="Q10" s="3" t="n">
        <v>122</v>
      </c>
      <c r="R10" s="4" t="n">
        <v>0.305</v>
      </c>
    </row>
    <row r="11">
      <c r="A11" s="2" t="n">
        <v>10</v>
      </c>
      <c r="B11" s="2" t="inlineStr">
        <is>
          <t>Feb-2023</t>
        </is>
      </c>
      <c r="C11" s="2" t="inlineStr">
        <is>
          <t>Gears</t>
        </is>
      </c>
      <c r="D11" s="2" t="inlineStr">
        <is>
          <t>North</t>
        </is>
      </c>
      <c r="E11" s="2" t="n">
        <v>746</v>
      </c>
      <c r="F11" s="2" t="n">
        <v>500</v>
      </c>
      <c r="G11" s="2" t="n">
        <v>230</v>
      </c>
      <c r="H11" s="2" t="n">
        <v>55</v>
      </c>
      <c r="I11" s="2" t="n">
        <v>25</v>
      </c>
      <c r="J11" s="3" t="n">
        <v>373000</v>
      </c>
      <c r="K11" s="3" t="n">
        <v>171580</v>
      </c>
      <c r="L11" s="3" t="n">
        <v>41030</v>
      </c>
      <c r="M11" s="3" t="n">
        <v>18650</v>
      </c>
      <c r="N11" s="3" t="n">
        <v>231260</v>
      </c>
      <c r="O11" s="3" t="n">
        <v>310</v>
      </c>
      <c r="P11" s="3" t="n">
        <v>141740</v>
      </c>
      <c r="Q11" s="3" t="n">
        <v>190</v>
      </c>
      <c r="R11" s="4" t="n">
        <v>0.38</v>
      </c>
    </row>
    <row r="12">
      <c r="A12" s="2" t="n">
        <v>11</v>
      </c>
      <c r="B12" s="2" t="inlineStr">
        <is>
          <t>Feb-2023</t>
        </is>
      </c>
      <c r="C12" s="2" t="inlineStr">
        <is>
          <t>Shafts</t>
        </is>
      </c>
      <c r="D12" s="2" t="inlineStr">
        <is>
          <t>North</t>
        </is>
      </c>
      <c r="E12" s="2" t="n">
        <v>696</v>
      </c>
      <c r="F12" s="2" t="n">
        <v>450</v>
      </c>
      <c r="G12" s="2" t="n">
        <v>220</v>
      </c>
      <c r="H12" s="2" t="n">
        <v>50</v>
      </c>
      <c r="I12" s="2" t="n">
        <v>22</v>
      </c>
      <c r="J12" s="3" t="n">
        <v>313200</v>
      </c>
      <c r="K12" s="3" t="n">
        <v>153120</v>
      </c>
      <c r="L12" s="3" t="n">
        <v>34800</v>
      </c>
      <c r="M12" s="3" t="n">
        <v>15312</v>
      </c>
      <c r="N12" s="3" t="n">
        <v>203232</v>
      </c>
      <c r="O12" s="3" t="n">
        <v>292</v>
      </c>
      <c r="P12" s="3" t="n">
        <v>109968</v>
      </c>
      <c r="Q12" s="3" t="n">
        <v>158</v>
      </c>
      <c r="R12" s="4" t="n">
        <v>0.3511111111111111</v>
      </c>
    </row>
    <row r="13">
      <c r="A13" s="2" t="n">
        <v>12</v>
      </c>
      <c r="B13" s="2" t="inlineStr">
        <is>
          <t>Feb-2023</t>
        </is>
      </c>
      <c r="C13" s="2" t="inlineStr">
        <is>
          <t>Bearings</t>
        </is>
      </c>
      <c r="D13" s="2" t="inlineStr">
        <is>
          <t>North</t>
        </is>
      </c>
      <c r="E13" s="2" t="n">
        <v>706</v>
      </c>
      <c r="F13" s="2" t="n">
        <v>400</v>
      </c>
      <c r="G13" s="2" t="n">
        <v>210</v>
      </c>
      <c r="H13" s="2" t="n">
        <v>48</v>
      </c>
      <c r="I13" s="2" t="n">
        <v>20</v>
      </c>
      <c r="J13" s="3" t="n">
        <v>282400</v>
      </c>
      <c r="K13" s="3" t="n">
        <v>148260</v>
      </c>
      <c r="L13" s="3" t="n">
        <v>33888</v>
      </c>
      <c r="M13" s="3" t="n">
        <v>14120</v>
      </c>
      <c r="N13" s="3" t="n">
        <v>196268</v>
      </c>
      <c r="O13" s="3" t="n">
        <v>278</v>
      </c>
      <c r="P13" s="3" t="n">
        <v>86132</v>
      </c>
      <c r="Q13" s="3" t="n">
        <v>122</v>
      </c>
      <c r="R13" s="4" t="n">
        <v>0.305</v>
      </c>
    </row>
    <row r="14">
      <c r="A14" s="2" t="n">
        <v>13</v>
      </c>
      <c r="B14" s="2" t="inlineStr">
        <is>
          <t>Feb-2023</t>
        </is>
      </c>
      <c r="C14" s="2" t="inlineStr">
        <is>
          <t>Gears</t>
        </is>
      </c>
      <c r="D14" s="2" t="inlineStr">
        <is>
          <t>South</t>
        </is>
      </c>
      <c r="E14" s="2" t="n">
        <v>675</v>
      </c>
      <c r="F14" s="2" t="n">
        <v>500</v>
      </c>
      <c r="G14" s="2" t="n">
        <v>230</v>
      </c>
      <c r="H14" s="2" t="n">
        <v>55</v>
      </c>
      <c r="I14" s="2" t="n">
        <v>25</v>
      </c>
      <c r="J14" s="3" t="n">
        <v>337500</v>
      </c>
      <c r="K14" s="3" t="n">
        <v>155250</v>
      </c>
      <c r="L14" s="3" t="n">
        <v>37125</v>
      </c>
      <c r="M14" s="3" t="n">
        <v>16875</v>
      </c>
      <c r="N14" s="3" t="n">
        <v>209250</v>
      </c>
      <c r="O14" s="3" t="n">
        <v>310</v>
      </c>
      <c r="P14" s="3" t="n">
        <v>128250</v>
      </c>
      <c r="Q14" s="3" t="n">
        <v>190</v>
      </c>
      <c r="R14" s="4" t="n">
        <v>0.38</v>
      </c>
    </row>
    <row r="15">
      <c r="A15" s="2" t="n">
        <v>14</v>
      </c>
      <c r="B15" s="2" t="inlineStr">
        <is>
          <t>Feb-2023</t>
        </is>
      </c>
      <c r="C15" s="2" t="inlineStr">
        <is>
          <t>Shafts</t>
        </is>
      </c>
      <c r="D15" s="2" t="inlineStr">
        <is>
          <t>South</t>
        </is>
      </c>
      <c r="E15" s="2" t="n">
        <v>629</v>
      </c>
      <c r="F15" s="2" t="n">
        <v>450</v>
      </c>
      <c r="G15" s="2" t="n">
        <v>220</v>
      </c>
      <c r="H15" s="2" t="n">
        <v>50</v>
      </c>
      <c r="I15" s="2" t="n">
        <v>22</v>
      </c>
      <c r="J15" s="3" t="n">
        <v>283050</v>
      </c>
      <c r="K15" s="3" t="n">
        <v>138380</v>
      </c>
      <c r="L15" s="3" t="n">
        <v>31450</v>
      </c>
      <c r="M15" s="3" t="n">
        <v>13838</v>
      </c>
      <c r="N15" s="3" t="n">
        <v>183668</v>
      </c>
      <c r="O15" s="3" t="n">
        <v>292</v>
      </c>
      <c r="P15" s="3" t="n">
        <v>99382</v>
      </c>
      <c r="Q15" s="3" t="n">
        <v>158</v>
      </c>
      <c r="R15" s="4" t="n">
        <v>0.3511111111111111</v>
      </c>
    </row>
    <row r="16">
      <c r="A16" s="2" t="n">
        <v>15</v>
      </c>
      <c r="B16" s="2" t="inlineStr">
        <is>
          <t>Feb-2023</t>
        </is>
      </c>
      <c r="C16" s="2" t="inlineStr">
        <is>
          <t>Bearings</t>
        </is>
      </c>
      <c r="D16" s="2" t="inlineStr">
        <is>
          <t>South</t>
        </is>
      </c>
      <c r="E16" s="2" t="n">
        <v>638</v>
      </c>
      <c r="F16" s="2" t="n">
        <v>400</v>
      </c>
      <c r="G16" s="2" t="n">
        <v>210</v>
      </c>
      <c r="H16" s="2" t="n">
        <v>48</v>
      </c>
      <c r="I16" s="2" t="n">
        <v>20</v>
      </c>
      <c r="J16" s="3" t="n">
        <v>255200</v>
      </c>
      <c r="K16" s="3" t="n">
        <v>133980</v>
      </c>
      <c r="L16" s="3" t="n">
        <v>30624</v>
      </c>
      <c r="M16" s="3" t="n">
        <v>12760</v>
      </c>
      <c r="N16" s="3" t="n">
        <v>177364</v>
      </c>
      <c r="O16" s="3" t="n">
        <v>278</v>
      </c>
      <c r="P16" s="3" t="n">
        <v>77836</v>
      </c>
      <c r="Q16" s="3" t="n">
        <v>122</v>
      </c>
      <c r="R16" s="4" t="n">
        <v>0.305</v>
      </c>
    </row>
    <row r="17">
      <c r="A17" s="2" t="n">
        <v>16</v>
      </c>
      <c r="B17" s="2" t="inlineStr">
        <is>
          <t>Feb-2023</t>
        </is>
      </c>
      <c r="C17" s="2" t="inlineStr">
        <is>
          <t>Gears</t>
        </is>
      </c>
      <c r="D17" s="2" t="inlineStr">
        <is>
          <t>West</t>
        </is>
      </c>
      <c r="E17" s="2" t="n">
        <v>710</v>
      </c>
      <c r="F17" s="2" t="n">
        <v>500</v>
      </c>
      <c r="G17" s="2" t="n">
        <v>230</v>
      </c>
      <c r="H17" s="2" t="n">
        <v>55</v>
      </c>
      <c r="I17" s="2" t="n">
        <v>25</v>
      </c>
      <c r="J17" s="3" t="n">
        <v>355000</v>
      </c>
      <c r="K17" s="3" t="n">
        <v>163300</v>
      </c>
      <c r="L17" s="3" t="n">
        <v>39050</v>
      </c>
      <c r="M17" s="3" t="n">
        <v>17750</v>
      </c>
      <c r="N17" s="3" t="n">
        <v>220100</v>
      </c>
      <c r="O17" s="3" t="n">
        <v>310</v>
      </c>
      <c r="P17" s="3" t="n">
        <v>134900</v>
      </c>
      <c r="Q17" s="3" t="n">
        <v>190</v>
      </c>
      <c r="R17" s="4" t="n">
        <v>0.38</v>
      </c>
    </row>
    <row r="18">
      <c r="A18" s="2" t="n">
        <v>17</v>
      </c>
      <c r="B18" s="2" t="inlineStr">
        <is>
          <t>Feb-2023</t>
        </is>
      </c>
      <c r="C18" s="2" t="inlineStr">
        <is>
          <t>Shafts</t>
        </is>
      </c>
      <c r="D18" s="2" t="inlineStr">
        <is>
          <t>West</t>
        </is>
      </c>
      <c r="E18" s="2" t="n">
        <v>662</v>
      </c>
      <c r="F18" s="2" t="n">
        <v>450</v>
      </c>
      <c r="G18" s="2" t="n">
        <v>220</v>
      </c>
      <c r="H18" s="2" t="n">
        <v>50</v>
      </c>
      <c r="I18" s="2" t="n">
        <v>22</v>
      </c>
      <c r="J18" s="3" t="n">
        <v>297900</v>
      </c>
      <c r="K18" s="3" t="n">
        <v>145640</v>
      </c>
      <c r="L18" s="3" t="n">
        <v>33100</v>
      </c>
      <c r="M18" s="3" t="n">
        <v>14564</v>
      </c>
      <c r="N18" s="3" t="n">
        <v>193304</v>
      </c>
      <c r="O18" s="3" t="n">
        <v>292</v>
      </c>
      <c r="P18" s="3" t="n">
        <v>104596</v>
      </c>
      <c r="Q18" s="3" t="n">
        <v>158</v>
      </c>
      <c r="R18" s="4" t="n">
        <v>0.3511111111111111</v>
      </c>
    </row>
    <row r="19">
      <c r="A19" s="2" t="n">
        <v>18</v>
      </c>
      <c r="B19" s="2" t="inlineStr">
        <is>
          <t>Feb-2023</t>
        </is>
      </c>
      <c r="C19" s="2" t="inlineStr">
        <is>
          <t>Bearings</t>
        </is>
      </c>
      <c r="D19" s="2" t="inlineStr">
        <is>
          <t>West</t>
        </is>
      </c>
      <c r="E19" s="2" t="n">
        <v>672</v>
      </c>
      <c r="F19" s="2" t="n">
        <v>400</v>
      </c>
      <c r="G19" s="2" t="n">
        <v>210</v>
      </c>
      <c r="H19" s="2" t="n">
        <v>48</v>
      </c>
      <c r="I19" s="2" t="n">
        <v>20</v>
      </c>
      <c r="J19" s="3" t="n">
        <v>268800</v>
      </c>
      <c r="K19" s="3" t="n">
        <v>141120</v>
      </c>
      <c r="L19" s="3" t="n">
        <v>32256</v>
      </c>
      <c r="M19" s="3" t="n">
        <v>13440</v>
      </c>
      <c r="N19" s="3" t="n">
        <v>186816</v>
      </c>
      <c r="O19" s="3" t="n">
        <v>278</v>
      </c>
      <c r="P19" s="3" t="n">
        <v>81984</v>
      </c>
      <c r="Q19" s="3" t="n">
        <v>122</v>
      </c>
      <c r="R19" s="4" t="n">
        <v>0.305</v>
      </c>
    </row>
    <row r="20">
      <c r="A20" s="2" t="n">
        <v>19</v>
      </c>
      <c r="B20" s="2" t="inlineStr">
        <is>
          <t>Mar-2023</t>
        </is>
      </c>
      <c r="C20" s="2" t="inlineStr">
        <is>
          <t>Gears</t>
        </is>
      </c>
      <c r="D20" s="2" t="inlineStr">
        <is>
          <t>North</t>
        </is>
      </c>
      <c r="E20" s="2" t="n">
        <v>777</v>
      </c>
      <c r="F20" s="2" t="n">
        <v>500</v>
      </c>
      <c r="G20" s="2" t="n">
        <v>230</v>
      </c>
      <c r="H20" s="2" t="n">
        <v>55</v>
      </c>
      <c r="I20" s="2" t="n">
        <v>25</v>
      </c>
      <c r="J20" s="3" t="n">
        <v>388500</v>
      </c>
      <c r="K20" s="3" t="n">
        <v>178710</v>
      </c>
      <c r="L20" s="3" t="n">
        <v>42735</v>
      </c>
      <c r="M20" s="3" t="n">
        <v>19425</v>
      </c>
      <c r="N20" s="3" t="n">
        <v>240870</v>
      </c>
      <c r="O20" s="3" t="n">
        <v>310</v>
      </c>
      <c r="P20" s="3" t="n">
        <v>147630</v>
      </c>
      <c r="Q20" s="3" t="n">
        <v>190</v>
      </c>
      <c r="R20" s="4" t="n">
        <v>0.38</v>
      </c>
    </row>
    <row r="21">
      <c r="A21" s="2" t="n">
        <v>20</v>
      </c>
      <c r="B21" s="2" t="inlineStr">
        <is>
          <t>Mar-2023</t>
        </is>
      </c>
      <c r="C21" s="2" t="inlineStr">
        <is>
          <t>Shafts</t>
        </is>
      </c>
      <c r="D21" s="2" t="inlineStr">
        <is>
          <t>North</t>
        </is>
      </c>
      <c r="E21" s="2" t="n">
        <v>724</v>
      </c>
      <c r="F21" s="2" t="n">
        <v>450</v>
      </c>
      <c r="G21" s="2" t="n">
        <v>220</v>
      </c>
      <c r="H21" s="2" t="n">
        <v>50</v>
      </c>
      <c r="I21" s="2" t="n">
        <v>22</v>
      </c>
      <c r="J21" s="3" t="n">
        <v>325800</v>
      </c>
      <c r="K21" s="3" t="n">
        <v>159280</v>
      </c>
      <c r="L21" s="3" t="n">
        <v>36200</v>
      </c>
      <c r="M21" s="3" t="n">
        <v>15928</v>
      </c>
      <c r="N21" s="3" t="n">
        <v>211408</v>
      </c>
      <c r="O21" s="3" t="n">
        <v>292</v>
      </c>
      <c r="P21" s="3" t="n">
        <v>114392</v>
      </c>
      <c r="Q21" s="3" t="n">
        <v>158</v>
      </c>
      <c r="R21" s="4" t="n">
        <v>0.3511111111111111</v>
      </c>
    </row>
    <row r="22">
      <c r="A22" s="2" t="n">
        <v>21</v>
      </c>
      <c r="B22" s="2" t="inlineStr">
        <is>
          <t>Mar-2023</t>
        </is>
      </c>
      <c r="C22" s="2" t="inlineStr">
        <is>
          <t>Bearings</t>
        </is>
      </c>
      <c r="D22" s="2" t="inlineStr">
        <is>
          <t>North</t>
        </is>
      </c>
      <c r="E22" s="2" t="n">
        <v>735</v>
      </c>
      <c r="F22" s="2" t="n">
        <v>400</v>
      </c>
      <c r="G22" s="2" t="n">
        <v>210</v>
      </c>
      <c r="H22" s="2" t="n">
        <v>48</v>
      </c>
      <c r="I22" s="2" t="n">
        <v>20</v>
      </c>
      <c r="J22" s="3" t="n">
        <v>294000</v>
      </c>
      <c r="K22" s="3" t="n">
        <v>154350</v>
      </c>
      <c r="L22" s="3" t="n">
        <v>35280</v>
      </c>
      <c r="M22" s="3" t="n">
        <v>14700</v>
      </c>
      <c r="N22" s="3" t="n">
        <v>204330</v>
      </c>
      <c r="O22" s="3" t="n">
        <v>278</v>
      </c>
      <c r="P22" s="3" t="n">
        <v>89670</v>
      </c>
      <c r="Q22" s="3" t="n">
        <v>122</v>
      </c>
      <c r="R22" s="4" t="n">
        <v>0.305</v>
      </c>
    </row>
    <row r="23">
      <c r="A23" s="2" t="n">
        <v>22</v>
      </c>
      <c r="B23" s="2" t="inlineStr">
        <is>
          <t>Mar-2023</t>
        </is>
      </c>
      <c r="C23" s="2" t="inlineStr">
        <is>
          <t>Gears</t>
        </is>
      </c>
      <c r="D23" s="2" t="inlineStr">
        <is>
          <t>South</t>
        </is>
      </c>
      <c r="E23" s="2" t="n">
        <v>703</v>
      </c>
      <c r="F23" s="2" t="n">
        <v>500</v>
      </c>
      <c r="G23" s="2" t="n">
        <v>230</v>
      </c>
      <c r="H23" s="2" t="n">
        <v>55</v>
      </c>
      <c r="I23" s="2" t="n">
        <v>25</v>
      </c>
      <c r="J23" s="3" t="n">
        <v>351500</v>
      </c>
      <c r="K23" s="3" t="n">
        <v>161690</v>
      </c>
      <c r="L23" s="3" t="n">
        <v>38665</v>
      </c>
      <c r="M23" s="3" t="n">
        <v>17575</v>
      </c>
      <c r="N23" s="3" t="n">
        <v>217930</v>
      </c>
      <c r="O23" s="3" t="n">
        <v>310</v>
      </c>
      <c r="P23" s="3" t="n">
        <v>133570</v>
      </c>
      <c r="Q23" s="3" t="n">
        <v>190</v>
      </c>
      <c r="R23" s="4" t="n">
        <v>0.38</v>
      </c>
    </row>
    <row r="24">
      <c r="A24" s="2" t="n">
        <v>23</v>
      </c>
      <c r="B24" s="2" t="inlineStr">
        <is>
          <t>Mar-2023</t>
        </is>
      </c>
      <c r="C24" s="2" t="inlineStr">
        <is>
          <t>Shafts</t>
        </is>
      </c>
      <c r="D24" s="2" t="inlineStr">
        <is>
          <t>South</t>
        </is>
      </c>
      <c r="E24" s="2" t="n">
        <v>656</v>
      </c>
      <c r="F24" s="2" t="n">
        <v>450</v>
      </c>
      <c r="G24" s="2" t="n">
        <v>220</v>
      </c>
      <c r="H24" s="2" t="n">
        <v>50</v>
      </c>
      <c r="I24" s="2" t="n">
        <v>22</v>
      </c>
      <c r="J24" s="3" t="n">
        <v>295200</v>
      </c>
      <c r="K24" s="3" t="n">
        <v>144320</v>
      </c>
      <c r="L24" s="3" t="n">
        <v>32800</v>
      </c>
      <c r="M24" s="3" t="n">
        <v>14432</v>
      </c>
      <c r="N24" s="3" t="n">
        <v>191552</v>
      </c>
      <c r="O24" s="3" t="n">
        <v>292</v>
      </c>
      <c r="P24" s="3" t="n">
        <v>103648</v>
      </c>
      <c r="Q24" s="3" t="n">
        <v>158</v>
      </c>
      <c r="R24" s="4" t="n">
        <v>0.3511111111111111</v>
      </c>
    </row>
    <row r="25">
      <c r="A25" s="2" t="n">
        <v>24</v>
      </c>
      <c r="B25" s="2" t="inlineStr">
        <is>
          <t>Mar-2023</t>
        </is>
      </c>
      <c r="C25" s="2" t="inlineStr">
        <is>
          <t>Bearings</t>
        </is>
      </c>
      <c r="D25" s="2" t="inlineStr">
        <is>
          <t>South</t>
        </is>
      </c>
      <c r="E25" s="2" t="n">
        <v>665</v>
      </c>
      <c r="F25" s="2" t="n">
        <v>400</v>
      </c>
      <c r="G25" s="2" t="n">
        <v>210</v>
      </c>
      <c r="H25" s="2" t="n">
        <v>48</v>
      </c>
      <c r="I25" s="2" t="n">
        <v>20</v>
      </c>
      <c r="J25" s="3" t="n">
        <v>266000</v>
      </c>
      <c r="K25" s="3" t="n">
        <v>139650</v>
      </c>
      <c r="L25" s="3" t="n">
        <v>31920</v>
      </c>
      <c r="M25" s="3" t="n">
        <v>13300</v>
      </c>
      <c r="N25" s="3" t="n">
        <v>184870</v>
      </c>
      <c r="O25" s="3" t="n">
        <v>278</v>
      </c>
      <c r="P25" s="3" t="n">
        <v>81130</v>
      </c>
      <c r="Q25" s="3" t="n">
        <v>122</v>
      </c>
      <c r="R25" s="4" t="n">
        <v>0.305</v>
      </c>
    </row>
    <row r="26">
      <c r="A26" s="2" t="n">
        <v>25</v>
      </c>
      <c r="B26" s="2" t="inlineStr">
        <is>
          <t>Mar-2023</t>
        </is>
      </c>
      <c r="C26" s="2" t="inlineStr">
        <is>
          <t>Gears</t>
        </is>
      </c>
      <c r="D26" s="2" t="inlineStr">
        <is>
          <t>West</t>
        </is>
      </c>
      <c r="E26" s="2" t="n">
        <v>740</v>
      </c>
      <c r="F26" s="2" t="n">
        <v>500</v>
      </c>
      <c r="G26" s="2" t="n">
        <v>230</v>
      </c>
      <c r="H26" s="2" t="n">
        <v>55</v>
      </c>
      <c r="I26" s="2" t="n">
        <v>25</v>
      </c>
      <c r="J26" s="3" t="n">
        <v>370000</v>
      </c>
      <c r="K26" s="3" t="n">
        <v>170200</v>
      </c>
      <c r="L26" s="3" t="n">
        <v>40700</v>
      </c>
      <c r="M26" s="3" t="n">
        <v>18500</v>
      </c>
      <c r="N26" s="3" t="n">
        <v>229400</v>
      </c>
      <c r="O26" s="3" t="n">
        <v>310</v>
      </c>
      <c r="P26" s="3" t="n">
        <v>140600</v>
      </c>
      <c r="Q26" s="3" t="n">
        <v>190</v>
      </c>
      <c r="R26" s="4" t="n">
        <v>0.38</v>
      </c>
    </row>
    <row r="27">
      <c r="A27" s="2" t="n">
        <v>26</v>
      </c>
      <c r="B27" s="2" t="inlineStr">
        <is>
          <t>Mar-2023</t>
        </is>
      </c>
      <c r="C27" s="2" t="inlineStr">
        <is>
          <t>Shafts</t>
        </is>
      </c>
      <c r="D27" s="2" t="inlineStr">
        <is>
          <t>West</t>
        </is>
      </c>
      <c r="E27" s="2" t="n">
        <v>690</v>
      </c>
      <c r="F27" s="2" t="n">
        <v>450</v>
      </c>
      <c r="G27" s="2" t="n">
        <v>220</v>
      </c>
      <c r="H27" s="2" t="n">
        <v>50</v>
      </c>
      <c r="I27" s="2" t="n">
        <v>22</v>
      </c>
      <c r="J27" s="3" t="n">
        <v>310500</v>
      </c>
      <c r="K27" s="3" t="n">
        <v>151800</v>
      </c>
      <c r="L27" s="3" t="n">
        <v>34500</v>
      </c>
      <c r="M27" s="3" t="n">
        <v>15180</v>
      </c>
      <c r="N27" s="3" t="n">
        <v>201480</v>
      </c>
      <c r="O27" s="3" t="n">
        <v>292</v>
      </c>
      <c r="P27" s="3" t="n">
        <v>109020</v>
      </c>
      <c r="Q27" s="3" t="n">
        <v>158</v>
      </c>
      <c r="R27" s="4" t="n">
        <v>0.3511111111111111</v>
      </c>
    </row>
    <row r="28">
      <c r="A28" s="2" t="n">
        <v>27</v>
      </c>
      <c r="B28" s="2" t="inlineStr">
        <is>
          <t>Mar-2023</t>
        </is>
      </c>
      <c r="C28" s="2" t="inlineStr">
        <is>
          <t>Bearings</t>
        </is>
      </c>
      <c r="D28" s="2" t="inlineStr">
        <is>
          <t>West</t>
        </is>
      </c>
      <c r="E28" s="2" t="n">
        <v>700</v>
      </c>
      <c r="F28" s="2" t="n">
        <v>400</v>
      </c>
      <c r="G28" s="2" t="n">
        <v>210</v>
      </c>
      <c r="H28" s="2" t="n">
        <v>48</v>
      </c>
      <c r="I28" s="2" t="n">
        <v>20</v>
      </c>
      <c r="J28" s="3" t="n">
        <v>280000</v>
      </c>
      <c r="K28" s="3" t="n">
        <v>147000</v>
      </c>
      <c r="L28" s="3" t="n">
        <v>33600</v>
      </c>
      <c r="M28" s="3" t="n">
        <v>14000</v>
      </c>
      <c r="N28" s="3" t="n">
        <v>194600</v>
      </c>
      <c r="O28" s="3" t="n">
        <v>278</v>
      </c>
      <c r="P28" s="3" t="n">
        <v>85400</v>
      </c>
      <c r="Q28" s="3" t="n">
        <v>122</v>
      </c>
      <c r="R28" s="4" t="n">
        <v>0.305</v>
      </c>
    </row>
    <row r="29">
      <c r="A29" s="2" t="n">
        <v>28</v>
      </c>
      <c r="B29" s="2" t="inlineStr">
        <is>
          <t>Apr-2023</t>
        </is>
      </c>
      <c r="C29" s="2" t="inlineStr">
        <is>
          <t>Gears</t>
        </is>
      </c>
      <c r="D29" s="2" t="inlineStr">
        <is>
          <t>North</t>
        </is>
      </c>
      <c r="E29" s="2" t="n">
        <v>808</v>
      </c>
      <c r="F29" s="2" t="n">
        <v>500</v>
      </c>
      <c r="G29" s="2" t="n">
        <v>230</v>
      </c>
      <c r="H29" s="2" t="n">
        <v>55</v>
      </c>
      <c r="I29" s="2" t="n">
        <v>25</v>
      </c>
      <c r="J29" s="3" t="n">
        <v>404000</v>
      </c>
      <c r="K29" s="3" t="n">
        <v>185840</v>
      </c>
      <c r="L29" s="3" t="n">
        <v>44440</v>
      </c>
      <c r="M29" s="3" t="n">
        <v>20200</v>
      </c>
      <c r="N29" s="3" t="n">
        <v>250480</v>
      </c>
      <c r="O29" s="3" t="n">
        <v>310</v>
      </c>
      <c r="P29" s="3" t="n">
        <v>153520</v>
      </c>
      <c r="Q29" s="3" t="n">
        <v>190</v>
      </c>
      <c r="R29" s="4" t="n">
        <v>0.38</v>
      </c>
    </row>
    <row r="30">
      <c r="A30" s="2" t="n">
        <v>29</v>
      </c>
      <c r="B30" s="2" t="inlineStr">
        <is>
          <t>Apr-2023</t>
        </is>
      </c>
      <c r="C30" s="2" t="inlineStr">
        <is>
          <t>Shafts</t>
        </is>
      </c>
      <c r="D30" s="2" t="inlineStr">
        <is>
          <t>North</t>
        </is>
      </c>
      <c r="E30" s="2" t="n">
        <v>753</v>
      </c>
      <c r="F30" s="2" t="n">
        <v>450</v>
      </c>
      <c r="G30" s="2" t="n">
        <v>220</v>
      </c>
      <c r="H30" s="2" t="n">
        <v>50</v>
      </c>
      <c r="I30" s="2" t="n">
        <v>22</v>
      </c>
      <c r="J30" s="3" t="n">
        <v>338850</v>
      </c>
      <c r="K30" s="3" t="n">
        <v>165660</v>
      </c>
      <c r="L30" s="3" t="n">
        <v>37650</v>
      </c>
      <c r="M30" s="3" t="n">
        <v>16566</v>
      </c>
      <c r="N30" s="3" t="n">
        <v>219876</v>
      </c>
      <c r="O30" s="3" t="n">
        <v>292</v>
      </c>
      <c r="P30" s="3" t="n">
        <v>118974</v>
      </c>
      <c r="Q30" s="3" t="n">
        <v>158</v>
      </c>
      <c r="R30" s="4" t="n">
        <v>0.3511111111111111</v>
      </c>
    </row>
    <row r="31">
      <c r="A31" s="2" t="n">
        <v>30</v>
      </c>
      <c r="B31" s="2" t="inlineStr">
        <is>
          <t>Apr-2023</t>
        </is>
      </c>
      <c r="C31" s="2" t="inlineStr">
        <is>
          <t>Bearings</t>
        </is>
      </c>
      <c r="D31" s="2" t="inlineStr">
        <is>
          <t>North</t>
        </is>
      </c>
      <c r="E31" s="2" t="n">
        <v>764</v>
      </c>
      <c r="F31" s="2" t="n">
        <v>400</v>
      </c>
      <c r="G31" s="2" t="n">
        <v>210</v>
      </c>
      <c r="H31" s="2" t="n">
        <v>48</v>
      </c>
      <c r="I31" s="2" t="n">
        <v>20</v>
      </c>
      <c r="J31" s="3" t="n">
        <v>305600</v>
      </c>
      <c r="K31" s="3" t="n">
        <v>160440</v>
      </c>
      <c r="L31" s="3" t="n">
        <v>36672</v>
      </c>
      <c r="M31" s="3" t="n">
        <v>15280</v>
      </c>
      <c r="N31" s="3" t="n">
        <v>212392</v>
      </c>
      <c r="O31" s="3" t="n">
        <v>278</v>
      </c>
      <c r="P31" s="3" t="n">
        <v>93208</v>
      </c>
      <c r="Q31" s="3" t="n">
        <v>122</v>
      </c>
      <c r="R31" s="4" t="n">
        <v>0.305</v>
      </c>
    </row>
    <row r="32">
      <c r="A32" s="2" t="n">
        <v>31</v>
      </c>
      <c r="B32" s="2" t="inlineStr">
        <is>
          <t>Apr-2023</t>
        </is>
      </c>
      <c r="C32" s="2" t="inlineStr">
        <is>
          <t>Gears</t>
        </is>
      </c>
      <c r="D32" s="2" t="inlineStr">
        <is>
          <t>South</t>
        </is>
      </c>
      <c r="E32" s="2" t="n">
        <v>731</v>
      </c>
      <c r="F32" s="2" t="n">
        <v>500</v>
      </c>
      <c r="G32" s="2" t="n">
        <v>230</v>
      </c>
      <c r="H32" s="2" t="n">
        <v>55</v>
      </c>
      <c r="I32" s="2" t="n">
        <v>25</v>
      </c>
      <c r="J32" s="3" t="n">
        <v>365500</v>
      </c>
      <c r="K32" s="3" t="n">
        <v>168130</v>
      </c>
      <c r="L32" s="3" t="n">
        <v>40205</v>
      </c>
      <c r="M32" s="3" t="n">
        <v>18275</v>
      </c>
      <c r="N32" s="3" t="n">
        <v>226610</v>
      </c>
      <c r="O32" s="3" t="n">
        <v>310</v>
      </c>
      <c r="P32" s="3" t="n">
        <v>138890</v>
      </c>
      <c r="Q32" s="3" t="n">
        <v>190</v>
      </c>
      <c r="R32" s="4" t="n">
        <v>0.38</v>
      </c>
    </row>
    <row r="33">
      <c r="A33" s="2" t="n">
        <v>32</v>
      </c>
      <c r="B33" s="2" t="inlineStr">
        <is>
          <t>Apr-2023</t>
        </is>
      </c>
      <c r="C33" s="2" t="inlineStr">
        <is>
          <t>Shafts</t>
        </is>
      </c>
      <c r="D33" s="2" t="inlineStr">
        <is>
          <t>South</t>
        </is>
      </c>
      <c r="E33" s="2" t="n">
        <v>682</v>
      </c>
      <c r="F33" s="2" t="n">
        <v>450</v>
      </c>
      <c r="G33" s="2" t="n">
        <v>220</v>
      </c>
      <c r="H33" s="2" t="n">
        <v>50</v>
      </c>
      <c r="I33" s="2" t="n">
        <v>22</v>
      </c>
      <c r="J33" s="3" t="n">
        <v>306900</v>
      </c>
      <c r="K33" s="3" t="n">
        <v>150040</v>
      </c>
      <c r="L33" s="3" t="n">
        <v>34100</v>
      </c>
      <c r="M33" s="3" t="n">
        <v>15004</v>
      </c>
      <c r="N33" s="3" t="n">
        <v>199144</v>
      </c>
      <c r="O33" s="3" t="n">
        <v>292</v>
      </c>
      <c r="P33" s="3" t="n">
        <v>107756</v>
      </c>
      <c r="Q33" s="3" t="n">
        <v>158</v>
      </c>
      <c r="R33" s="4" t="n">
        <v>0.3511111111111111</v>
      </c>
    </row>
    <row r="34">
      <c r="A34" s="2" t="n">
        <v>33</v>
      </c>
      <c r="B34" s="2" t="inlineStr">
        <is>
          <t>Apr-2023</t>
        </is>
      </c>
      <c r="C34" s="2" t="inlineStr">
        <is>
          <t>Bearings</t>
        </is>
      </c>
      <c r="D34" s="2" t="inlineStr">
        <is>
          <t>South</t>
        </is>
      </c>
      <c r="E34" s="2" t="n">
        <v>692</v>
      </c>
      <c r="F34" s="2" t="n">
        <v>400</v>
      </c>
      <c r="G34" s="2" t="n">
        <v>210</v>
      </c>
      <c r="H34" s="2" t="n">
        <v>48</v>
      </c>
      <c r="I34" s="2" t="n">
        <v>20</v>
      </c>
      <c r="J34" s="3" t="n">
        <v>276800</v>
      </c>
      <c r="K34" s="3" t="n">
        <v>145320</v>
      </c>
      <c r="L34" s="3" t="n">
        <v>33216</v>
      </c>
      <c r="M34" s="3" t="n">
        <v>13840</v>
      </c>
      <c r="N34" s="3" t="n">
        <v>192376</v>
      </c>
      <c r="O34" s="3" t="n">
        <v>278</v>
      </c>
      <c r="P34" s="3" t="n">
        <v>84424</v>
      </c>
      <c r="Q34" s="3" t="n">
        <v>122</v>
      </c>
      <c r="R34" s="4" t="n">
        <v>0.305</v>
      </c>
    </row>
    <row r="35">
      <c r="A35" s="2" t="n">
        <v>34</v>
      </c>
      <c r="B35" s="2" t="inlineStr">
        <is>
          <t>Apr-2023</t>
        </is>
      </c>
      <c r="C35" s="2" t="inlineStr">
        <is>
          <t>Gears</t>
        </is>
      </c>
      <c r="D35" s="2" t="inlineStr">
        <is>
          <t>West</t>
        </is>
      </c>
      <c r="E35" s="2" t="n">
        <v>770</v>
      </c>
      <c r="F35" s="2" t="n">
        <v>500</v>
      </c>
      <c r="G35" s="2" t="n">
        <v>230</v>
      </c>
      <c r="H35" s="2" t="n">
        <v>55</v>
      </c>
      <c r="I35" s="2" t="n">
        <v>25</v>
      </c>
      <c r="J35" s="3" t="n">
        <v>385000</v>
      </c>
      <c r="K35" s="3" t="n">
        <v>177100</v>
      </c>
      <c r="L35" s="3" t="n">
        <v>42350</v>
      </c>
      <c r="M35" s="3" t="n">
        <v>19250</v>
      </c>
      <c r="N35" s="3" t="n">
        <v>238700</v>
      </c>
      <c r="O35" s="3" t="n">
        <v>310</v>
      </c>
      <c r="P35" s="3" t="n">
        <v>146300</v>
      </c>
      <c r="Q35" s="3" t="n">
        <v>190</v>
      </c>
      <c r="R35" s="4" t="n">
        <v>0.38</v>
      </c>
    </row>
    <row r="36">
      <c r="A36" s="2" t="n">
        <v>35</v>
      </c>
      <c r="B36" s="2" t="inlineStr">
        <is>
          <t>Apr-2023</t>
        </is>
      </c>
      <c r="C36" s="2" t="inlineStr">
        <is>
          <t>Shafts</t>
        </is>
      </c>
      <c r="D36" s="2" t="inlineStr">
        <is>
          <t>West</t>
        </is>
      </c>
      <c r="E36" s="2" t="n">
        <v>718</v>
      </c>
      <c r="F36" s="2" t="n">
        <v>450</v>
      </c>
      <c r="G36" s="2" t="n">
        <v>220</v>
      </c>
      <c r="H36" s="2" t="n">
        <v>50</v>
      </c>
      <c r="I36" s="2" t="n">
        <v>22</v>
      </c>
      <c r="J36" s="3" t="n">
        <v>323100</v>
      </c>
      <c r="K36" s="3" t="n">
        <v>157960</v>
      </c>
      <c r="L36" s="3" t="n">
        <v>35900</v>
      </c>
      <c r="M36" s="3" t="n">
        <v>15796</v>
      </c>
      <c r="N36" s="3" t="n">
        <v>209656</v>
      </c>
      <c r="O36" s="3" t="n">
        <v>292</v>
      </c>
      <c r="P36" s="3" t="n">
        <v>113444</v>
      </c>
      <c r="Q36" s="3" t="n">
        <v>158</v>
      </c>
      <c r="R36" s="4" t="n">
        <v>0.3511111111111111</v>
      </c>
    </row>
    <row r="37">
      <c r="A37" s="2" t="n">
        <v>36</v>
      </c>
      <c r="B37" s="2" t="inlineStr">
        <is>
          <t>Apr-2023</t>
        </is>
      </c>
      <c r="C37" s="2" t="inlineStr">
        <is>
          <t>Bearings</t>
        </is>
      </c>
      <c r="D37" s="2" t="inlineStr">
        <is>
          <t>West</t>
        </is>
      </c>
      <c r="E37" s="2" t="n">
        <v>728</v>
      </c>
      <c r="F37" s="2" t="n">
        <v>400</v>
      </c>
      <c r="G37" s="2" t="n">
        <v>210</v>
      </c>
      <c r="H37" s="2" t="n">
        <v>48</v>
      </c>
      <c r="I37" s="2" t="n">
        <v>20</v>
      </c>
      <c r="J37" s="3" t="n">
        <v>291200</v>
      </c>
      <c r="K37" s="3" t="n">
        <v>152880</v>
      </c>
      <c r="L37" s="3" t="n">
        <v>34944</v>
      </c>
      <c r="M37" s="3" t="n">
        <v>14560</v>
      </c>
      <c r="N37" s="3" t="n">
        <v>202384</v>
      </c>
      <c r="O37" s="3" t="n">
        <v>278</v>
      </c>
      <c r="P37" s="3" t="n">
        <v>88816</v>
      </c>
      <c r="Q37" s="3" t="n">
        <v>122</v>
      </c>
      <c r="R37" s="4" t="n">
        <v>0.305</v>
      </c>
    </row>
    <row r="38">
      <c r="A38" s="2" t="n">
        <v>37</v>
      </c>
      <c r="B38" s="2" t="inlineStr">
        <is>
          <t>May-2023</t>
        </is>
      </c>
      <c r="C38" s="2" t="inlineStr">
        <is>
          <t>Gears</t>
        </is>
      </c>
      <c r="D38" s="2" t="inlineStr">
        <is>
          <t>North</t>
        </is>
      </c>
      <c r="E38" s="2" t="n">
        <v>839</v>
      </c>
      <c r="F38" s="2" t="n">
        <v>500</v>
      </c>
      <c r="G38" s="2" t="n">
        <v>230</v>
      </c>
      <c r="H38" s="2" t="n">
        <v>55</v>
      </c>
      <c r="I38" s="2" t="n">
        <v>25</v>
      </c>
      <c r="J38" s="3" t="n">
        <v>419500</v>
      </c>
      <c r="K38" s="3" t="n">
        <v>192970</v>
      </c>
      <c r="L38" s="3" t="n">
        <v>46145</v>
      </c>
      <c r="M38" s="3" t="n">
        <v>20975</v>
      </c>
      <c r="N38" s="3" t="n">
        <v>260090</v>
      </c>
      <c r="O38" s="3" t="n">
        <v>310</v>
      </c>
      <c r="P38" s="3" t="n">
        <v>159410</v>
      </c>
      <c r="Q38" s="3" t="n">
        <v>190</v>
      </c>
      <c r="R38" s="4" t="n">
        <v>0.38</v>
      </c>
    </row>
    <row r="39">
      <c r="A39" s="2" t="n">
        <v>38</v>
      </c>
      <c r="B39" s="2" t="inlineStr">
        <is>
          <t>May-2023</t>
        </is>
      </c>
      <c r="C39" s="2" t="inlineStr">
        <is>
          <t>Shafts</t>
        </is>
      </c>
      <c r="D39" s="2" t="inlineStr">
        <is>
          <t>North</t>
        </is>
      </c>
      <c r="E39" s="2" t="n">
        <v>782</v>
      </c>
      <c r="F39" s="2" t="n">
        <v>450</v>
      </c>
      <c r="G39" s="2" t="n">
        <v>220</v>
      </c>
      <c r="H39" s="2" t="n">
        <v>50</v>
      </c>
      <c r="I39" s="2" t="n">
        <v>22</v>
      </c>
      <c r="J39" s="3" t="n">
        <v>351900</v>
      </c>
      <c r="K39" s="3" t="n">
        <v>172040</v>
      </c>
      <c r="L39" s="3" t="n">
        <v>39100</v>
      </c>
      <c r="M39" s="3" t="n">
        <v>17204</v>
      </c>
      <c r="N39" s="3" t="n">
        <v>228344</v>
      </c>
      <c r="O39" s="3" t="n">
        <v>292</v>
      </c>
      <c r="P39" s="3" t="n">
        <v>123556</v>
      </c>
      <c r="Q39" s="3" t="n">
        <v>158</v>
      </c>
      <c r="R39" s="4" t="n">
        <v>0.3511111111111111</v>
      </c>
    </row>
    <row r="40">
      <c r="A40" s="2" t="n">
        <v>39</v>
      </c>
      <c r="B40" s="2" t="inlineStr">
        <is>
          <t>May-2023</t>
        </is>
      </c>
      <c r="C40" s="2" t="inlineStr">
        <is>
          <t>Bearings</t>
        </is>
      </c>
      <c r="D40" s="2" t="inlineStr">
        <is>
          <t>North</t>
        </is>
      </c>
      <c r="E40" s="2" t="n">
        <v>794</v>
      </c>
      <c r="F40" s="2" t="n">
        <v>400</v>
      </c>
      <c r="G40" s="2" t="n">
        <v>210</v>
      </c>
      <c r="H40" s="2" t="n">
        <v>48</v>
      </c>
      <c r="I40" s="2" t="n">
        <v>20</v>
      </c>
      <c r="J40" s="3" t="n">
        <v>317600</v>
      </c>
      <c r="K40" s="3" t="n">
        <v>166740</v>
      </c>
      <c r="L40" s="3" t="n">
        <v>38112</v>
      </c>
      <c r="M40" s="3" t="n">
        <v>15880</v>
      </c>
      <c r="N40" s="3" t="n">
        <v>220732</v>
      </c>
      <c r="O40" s="3" t="n">
        <v>278</v>
      </c>
      <c r="P40" s="3" t="n">
        <v>96868</v>
      </c>
      <c r="Q40" s="3" t="n">
        <v>122</v>
      </c>
      <c r="R40" s="4" t="n">
        <v>0.305</v>
      </c>
    </row>
    <row r="41">
      <c r="A41" s="2" t="n">
        <v>40</v>
      </c>
      <c r="B41" s="2" t="inlineStr">
        <is>
          <t>May-2023</t>
        </is>
      </c>
      <c r="C41" s="2" t="inlineStr">
        <is>
          <t>Gears</t>
        </is>
      </c>
      <c r="D41" s="2" t="inlineStr">
        <is>
          <t>South</t>
        </is>
      </c>
      <c r="E41" s="2" t="n">
        <v>759</v>
      </c>
      <c r="F41" s="2" t="n">
        <v>500</v>
      </c>
      <c r="G41" s="2" t="n">
        <v>230</v>
      </c>
      <c r="H41" s="2" t="n">
        <v>55</v>
      </c>
      <c r="I41" s="2" t="n">
        <v>25</v>
      </c>
      <c r="J41" s="3" t="n">
        <v>379500</v>
      </c>
      <c r="K41" s="3" t="n">
        <v>174570</v>
      </c>
      <c r="L41" s="3" t="n">
        <v>41745</v>
      </c>
      <c r="M41" s="3" t="n">
        <v>18975</v>
      </c>
      <c r="N41" s="3" t="n">
        <v>235290</v>
      </c>
      <c r="O41" s="3" t="n">
        <v>310</v>
      </c>
      <c r="P41" s="3" t="n">
        <v>144210</v>
      </c>
      <c r="Q41" s="3" t="n">
        <v>190</v>
      </c>
      <c r="R41" s="4" t="n">
        <v>0.38</v>
      </c>
    </row>
    <row r="42">
      <c r="A42" s="2" t="n">
        <v>41</v>
      </c>
      <c r="B42" s="2" t="inlineStr">
        <is>
          <t>May-2023</t>
        </is>
      </c>
      <c r="C42" s="2" t="inlineStr">
        <is>
          <t>Shafts</t>
        </is>
      </c>
      <c r="D42" s="2" t="inlineStr">
        <is>
          <t>South</t>
        </is>
      </c>
      <c r="E42" s="2" t="n">
        <v>708</v>
      </c>
      <c r="F42" s="2" t="n">
        <v>450</v>
      </c>
      <c r="G42" s="2" t="n">
        <v>220</v>
      </c>
      <c r="H42" s="2" t="n">
        <v>50</v>
      </c>
      <c r="I42" s="2" t="n">
        <v>22</v>
      </c>
      <c r="J42" s="3" t="n">
        <v>318600</v>
      </c>
      <c r="K42" s="3" t="n">
        <v>155760</v>
      </c>
      <c r="L42" s="3" t="n">
        <v>35400</v>
      </c>
      <c r="M42" s="3" t="n">
        <v>15576</v>
      </c>
      <c r="N42" s="3" t="n">
        <v>206736</v>
      </c>
      <c r="O42" s="3" t="n">
        <v>292</v>
      </c>
      <c r="P42" s="3" t="n">
        <v>111864</v>
      </c>
      <c r="Q42" s="3" t="n">
        <v>158</v>
      </c>
      <c r="R42" s="4" t="n">
        <v>0.3511111111111111</v>
      </c>
    </row>
    <row r="43">
      <c r="A43" s="2" t="n">
        <v>42</v>
      </c>
      <c r="B43" s="2" t="inlineStr">
        <is>
          <t>May-2023</t>
        </is>
      </c>
      <c r="C43" s="2" t="inlineStr">
        <is>
          <t>Bearings</t>
        </is>
      </c>
      <c r="D43" s="2" t="inlineStr">
        <is>
          <t>South</t>
        </is>
      </c>
      <c r="E43" s="2" t="n">
        <v>718</v>
      </c>
      <c r="F43" s="2" t="n">
        <v>400</v>
      </c>
      <c r="G43" s="2" t="n">
        <v>210</v>
      </c>
      <c r="H43" s="2" t="n">
        <v>48</v>
      </c>
      <c r="I43" s="2" t="n">
        <v>20</v>
      </c>
      <c r="J43" s="3" t="n">
        <v>287200</v>
      </c>
      <c r="K43" s="3" t="n">
        <v>150780</v>
      </c>
      <c r="L43" s="3" t="n">
        <v>34464</v>
      </c>
      <c r="M43" s="3" t="n">
        <v>14360</v>
      </c>
      <c r="N43" s="3" t="n">
        <v>199604</v>
      </c>
      <c r="O43" s="3" t="n">
        <v>278</v>
      </c>
      <c r="P43" s="3" t="n">
        <v>87596</v>
      </c>
      <c r="Q43" s="3" t="n">
        <v>122</v>
      </c>
      <c r="R43" s="4" t="n">
        <v>0.305</v>
      </c>
    </row>
    <row r="44">
      <c r="A44" s="2" t="n">
        <v>43</v>
      </c>
      <c r="B44" s="2" t="inlineStr">
        <is>
          <t>May-2023</t>
        </is>
      </c>
      <c r="C44" s="2" t="inlineStr">
        <is>
          <t>Gears</t>
        </is>
      </c>
      <c r="D44" s="2" t="inlineStr">
        <is>
          <t>West</t>
        </is>
      </c>
      <c r="E44" s="2" t="n">
        <v>799</v>
      </c>
      <c r="F44" s="2" t="n">
        <v>500</v>
      </c>
      <c r="G44" s="2" t="n">
        <v>230</v>
      </c>
      <c r="H44" s="2" t="n">
        <v>55</v>
      </c>
      <c r="I44" s="2" t="n">
        <v>25</v>
      </c>
      <c r="J44" s="3" t="n">
        <v>399500</v>
      </c>
      <c r="K44" s="3" t="n">
        <v>183770</v>
      </c>
      <c r="L44" s="3" t="n">
        <v>43945</v>
      </c>
      <c r="M44" s="3" t="n">
        <v>19975</v>
      </c>
      <c r="N44" s="3" t="n">
        <v>247690</v>
      </c>
      <c r="O44" s="3" t="n">
        <v>310</v>
      </c>
      <c r="P44" s="3" t="n">
        <v>151810</v>
      </c>
      <c r="Q44" s="3" t="n">
        <v>190</v>
      </c>
      <c r="R44" s="4" t="n">
        <v>0.38</v>
      </c>
    </row>
    <row r="45">
      <c r="A45" s="2" t="n">
        <v>44</v>
      </c>
      <c r="B45" s="2" t="inlineStr">
        <is>
          <t>May-2023</t>
        </is>
      </c>
      <c r="C45" s="2" t="inlineStr">
        <is>
          <t>Shafts</t>
        </is>
      </c>
      <c r="D45" s="2" t="inlineStr">
        <is>
          <t>West</t>
        </is>
      </c>
      <c r="E45" s="2" t="n">
        <v>745</v>
      </c>
      <c r="F45" s="2" t="n">
        <v>450</v>
      </c>
      <c r="G45" s="2" t="n">
        <v>220</v>
      </c>
      <c r="H45" s="2" t="n">
        <v>50</v>
      </c>
      <c r="I45" s="2" t="n">
        <v>22</v>
      </c>
      <c r="J45" s="3" t="n">
        <v>335250</v>
      </c>
      <c r="K45" s="3" t="n">
        <v>163900</v>
      </c>
      <c r="L45" s="3" t="n">
        <v>37250</v>
      </c>
      <c r="M45" s="3" t="n">
        <v>16390</v>
      </c>
      <c r="N45" s="3" t="n">
        <v>217540</v>
      </c>
      <c r="O45" s="3" t="n">
        <v>292</v>
      </c>
      <c r="P45" s="3" t="n">
        <v>117710</v>
      </c>
      <c r="Q45" s="3" t="n">
        <v>158</v>
      </c>
      <c r="R45" s="4" t="n">
        <v>0.3511111111111111</v>
      </c>
    </row>
    <row r="46">
      <c r="A46" s="2" t="n">
        <v>45</v>
      </c>
      <c r="B46" s="2" t="inlineStr">
        <is>
          <t>May-2023</t>
        </is>
      </c>
      <c r="C46" s="2" t="inlineStr">
        <is>
          <t>Bearings</t>
        </is>
      </c>
      <c r="D46" s="2" t="inlineStr">
        <is>
          <t>West</t>
        </is>
      </c>
      <c r="E46" s="2" t="n">
        <v>756</v>
      </c>
      <c r="F46" s="2" t="n">
        <v>400</v>
      </c>
      <c r="G46" s="2" t="n">
        <v>210</v>
      </c>
      <c r="H46" s="2" t="n">
        <v>48</v>
      </c>
      <c r="I46" s="2" t="n">
        <v>20</v>
      </c>
      <c r="J46" s="3" t="n">
        <v>302400</v>
      </c>
      <c r="K46" s="3" t="n">
        <v>158760</v>
      </c>
      <c r="L46" s="3" t="n">
        <v>36288</v>
      </c>
      <c r="M46" s="3" t="n">
        <v>15120</v>
      </c>
      <c r="N46" s="3" t="n">
        <v>210168</v>
      </c>
      <c r="O46" s="3" t="n">
        <v>278</v>
      </c>
      <c r="P46" s="3" t="n">
        <v>92232</v>
      </c>
      <c r="Q46" s="3" t="n">
        <v>122</v>
      </c>
      <c r="R46" s="4" t="n">
        <v>0.305</v>
      </c>
    </row>
    <row r="47">
      <c r="A47" s="2" t="n">
        <v>46</v>
      </c>
      <c r="B47" s="2" t="inlineStr">
        <is>
          <t>Jun-2023</t>
        </is>
      </c>
      <c r="C47" s="2" t="inlineStr">
        <is>
          <t>Gears</t>
        </is>
      </c>
      <c r="D47" s="2" t="inlineStr">
        <is>
          <t>North</t>
        </is>
      </c>
      <c r="E47" s="2" t="n">
        <v>870</v>
      </c>
      <c r="F47" s="2" t="n">
        <v>500</v>
      </c>
      <c r="G47" s="2" t="n">
        <v>230</v>
      </c>
      <c r="H47" s="2" t="n">
        <v>55</v>
      </c>
      <c r="I47" s="2" t="n">
        <v>25</v>
      </c>
      <c r="J47" s="3" t="n">
        <v>435000</v>
      </c>
      <c r="K47" s="3" t="n">
        <v>200100</v>
      </c>
      <c r="L47" s="3" t="n">
        <v>47850</v>
      </c>
      <c r="M47" s="3" t="n">
        <v>21750</v>
      </c>
      <c r="N47" s="3" t="n">
        <v>269700</v>
      </c>
      <c r="O47" s="3" t="n">
        <v>310</v>
      </c>
      <c r="P47" s="3" t="n">
        <v>165300</v>
      </c>
      <c r="Q47" s="3" t="n">
        <v>190</v>
      </c>
      <c r="R47" s="4" t="n">
        <v>0.38</v>
      </c>
    </row>
    <row r="48">
      <c r="A48" s="2" t="n">
        <v>47</v>
      </c>
      <c r="B48" s="2" t="inlineStr">
        <is>
          <t>Jun-2023</t>
        </is>
      </c>
      <c r="C48" s="2" t="inlineStr">
        <is>
          <t>Shafts</t>
        </is>
      </c>
      <c r="D48" s="2" t="inlineStr">
        <is>
          <t>North</t>
        </is>
      </c>
      <c r="E48" s="2" t="n">
        <v>811</v>
      </c>
      <c r="F48" s="2" t="n">
        <v>450</v>
      </c>
      <c r="G48" s="2" t="n">
        <v>220</v>
      </c>
      <c r="H48" s="2" t="n">
        <v>50</v>
      </c>
      <c r="I48" s="2" t="n">
        <v>22</v>
      </c>
      <c r="J48" s="3" t="n">
        <v>364950</v>
      </c>
      <c r="K48" s="3" t="n">
        <v>178420</v>
      </c>
      <c r="L48" s="3" t="n">
        <v>40550</v>
      </c>
      <c r="M48" s="3" t="n">
        <v>17842</v>
      </c>
      <c r="N48" s="3" t="n">
        <v>236812</v>
      </c>
      <c r="O48" s="3" t="n">
        <v>292</v>
      </c>
      <c r="P48" s="3" t="n">
        <v>128138</v>
      </c>
      <c r="Q48" s="3" t="n">
        <v>158</v>
      </c>
      <c r="R48" s="4" t="n">
        <v>0.3511111111111111</v>
      </c>
    </row>
    <row r="49">
      <c r="A49" s="2" t="n">
        <v>48</v>
      </c>
      <c r="B49" s="2" t="inlineStr">
        <is>
          <t>Jun-2023</t>
        </is>
      </c>
      <c r="C49" s="2" t="inlineStr">
        <is>
          <t>Bearings</t>
        </is>
      </c>
      <c r="D49" s="2" t="inlineStr">
        <is>
          <t>North</t>
        </is>
      </c>
      <c r="E49" s="2" t="n">
        <v>823</v>
      </c>
      <c r="F49" s="2" t="n">
        <v>400</v>
      </c>
      <c r="G49" s="2" t="n">
        <v>210</v>
      </c>
      <c r="H49" s="2" t="n">
        <v>48</v>
      </c>
      <c r="I49" s="2" t="n">
        <v>20</v>
      </c>
      <c r="J49" s="3" t="n">
        <v>329200</v>
      </c>
      <c r="K49" s="3" t="n">
        <v>172830</v>
      </c>
      <c r="L49" s="3" t="n">
        <v>39504</v>
      </c>
      <c r="M49" s="3" t="n">
        <v>16460</v>
      </c>
      <c r="N49" s="3" t="n">
        <v>228794</v>
      </c>
      <c r="O49" s="3" t="n">
        <v>278</v>
      </c>
      <c r="P49" s="3" t="n">
        <v>100406</v>
      </c>
      <c r="Q49" s="3" t="n">
        <v>122</v>
      </c>
      <c r="R49" s="4" t="n">
        <v>0.305</v>
      </c>
    </row>
    <row r="50">
      <c r="A50" s="2" t="n">
        <v>49</v>
      </c>
      <c r="B50" s="2" t="inlineStr">
        <is>
          <t>Jun-2023</t>
        </is>
      </c>
      <c r="C50" s="2" t="inlineStr">
        <is>
          <t>Gears</t>
        </is>
      </c>
      <c r="D50" s="2" t="inlineStr">
        <is>
          <t>South</t>
        </is>
      </c>
      <c r="E50" s="2" t="n">
        <v>787</v>
      </c>
      <c r="F50" s="2" t="n">
        <v>500</v>
      </c>
      <c r="G50" s="2" t="n">
        <v>230</v>
      </c>
      <c r="H50" s="2" t="n">
        <v>55</v>
      </c>
      <c r="I50" s="2" t="n">
        <v>25</v>
      </c>
      <c r="J50" s="3" t="n">
        <v>393500</v>
      </c>
      <c r="K50" s="3" t="n">
        <v>181010</v>
      </c>
      <c r="L50" s="3" t="n">
        <v>43285</v>
      </c>
      <c r="M50" s="3" t="n">
        <v>19675</v>
      </c>
      <c r="N50" s="3" t="n">
        <v>243970</v>
      </c>
      <c r="O50" s="3" t="n">
        <v>310</v>
      </c>
      <c r="P50" s="3" t="n">
        <v>149530</v>
      </c>
      <c r="Q50" s="3" t="n">
        <v>190</v>
      </c>
      <c r="R50" s="4" t="n">
        <v>0.38</v>
      </c>
    </row>
    <row r="51">
      <c r="A51" s="2" t="n">
        <v>50</v>
      </c>
      <c r="B51" s="2" t="inlineStr">
        <is>
          <t>Jun-2023</t>
        </is>
      </c>
      <c r="C51" s="2" t="inlineStr">
        <is>
          <t>Shafts</t>
        </is>
      </c>
      <c r="D51" s="2" t="inlineStr">
        <is>
          <t>South</t>
        </is>
      </c>
      <c r="E51" s="2" t="n">
        <v>734</v>
      </c>
      <c r="F51" s="2" t="n">
        <v>450</v>
      </c>
      <c r="G51" s="2" t="n">
        <v>220</v>
      </c>
      <c r="H51" s="2" t="n">
        <v>50</v>
      </c>
      <c r="I51" s="2" t="n">
        <v>22</v>
      </c>
      <c r="J51" s="3" t="n">
        <v>330300</v>
      </c>
      <c r="K51" s="3" t="n">
        <v>161480</v>
      </c>
      <c r="L51" s="3" t="n">
        <v>36700</v>
      </c>
      <c r="M51" s="3" t="n">
        <v>16148</v>
      </c>
      <c r="N51" s="3" t="n">
        <v>214328</v>
      </c>
      <c r="O51" s="3" t="n">
        <v>292</v>
      </c>
      <c r="P51" s="3" t="n">
        <v>115972</v>
      </c>
      <c r="Q51" s="3" t="n">
        <v>158</v>
      </c>
      <c r="R51" s="4" t="n">
        <v>0.3511111111111111</v>
      </c>
    </row>
    <row r="52">
      <c r="A52" s="2" t="n">
        <v>51</v>
      </c>
      <c r="B52" s="2" t="inlineStr">
        <is>
          <t>Jun-2023</t>
        </is>
      </c>
      <c r="C52" s="2" t="inlineStr">
        <is>
          <t>Bearings</t>
        </is>
      </c>
      <c r="D52" s="2" t="inlineStr">
        <is>
          <t>South</t>
        </is>
      </c>
      <c r="E52" s="2" t="n">
        <v>745</v>
      </c>
      <c r="F52" s="2" t="n">
        <v>400</v>
      </c>
      <c r="G52" s="2" t="n">
        <v>210</v>
      </c>
      <c r="H52" s="2" t="n">
        <v>48</v>
      </c>
      <c r="I52" s="2" t="n">
        <v>20</v>
      </c>
      <c r="J52" s="3" t="n">
        <v>298000</v>
      </c>
      <c r="K52" s="3" t="n">
        <v>156450</v>
      </c>
      <c r="L52" s="3" t="n">
        <v>35760</v>
      </c>
      <c r="M52" s="3" t="n">
        <v>14900</v>
      </c>
      <c r="N52" s="3" t="n">
        <v>207110</v>
      </c>
      <c r="O52" s="3" t="n">
        <v>278</v>
      </c>
      <c r="P52" s="3" t="n">
        <v>90890</v>
      </c>
      <c r="Q52" s="3" t="n">
        <v>122</v>
      </c>
      <c r="R52" s="4" t="n">
        <v>0.305</v>
      </c>
    </row>
    <row r="53">
      <c r="A53" s="2" t="n">
        <v>52</v>
      </c>
      <c r="B53" s="2" t="inlineStr">
        <is>
          <t>Jun-2023</t>
        </is>
      </c>
      <c r="C53" s="2" t="inlineStr">
        <is>
          <t>Gears</t>
        </is>
      </c>
      <c r="D53" s="2" t="inlineStr">
        <is>
          <t>West</t>
        </is>
      </c>
      <c r="E53" s="2" t="n">
        <v>829</v>
      </c>
      <c r="F53" s="2" t="n">
        <v>500</v>
      </c>
      <c r="G53" s="2" t="n">
        <v>230</v>
      </c>
      <c r="H53" s="2" t="n">
        <v>55</v>
      </c>
      <c r="I53" s="2" t="n">
        <v>25</v>
      </c>
      <c r="J53" s="3" t="n">
        <v>414500</v>
      </c>
      <c r="K53" s="3" t="n">
        <v>190670</v>
      </c>
      <c r="L53" s="3" t="n">
        <v>45595</v>
      </c>
      <c r="M53" s="3" t="n">
        <v>20725</v>
      </c>
      <c r="N53" s="3" t="n">
        <v>256990</v>
      </c>
      <c r="O53" s="3" t="n">
        <v>310</v>
      </c>
      <c r="P53" s="3" t="n">
        <v>157510</v>
      </c>
      <c r="Q53" s="3" t="n">
        <v>190</v>
      </c>
      <c r="R53" s="4" t="n">
        <v>0.38</v>
      </c>
    </row>
    <row r="54">
      <c r="A54" s="2" t="n">
        <v>53</v>
      </c>
      <c r="B54" s="2" t="inlineStr">
        <is>
          <t>Jun-2023</t>
        </is>
      </c>
      <c r="C54" s="2" t="inlineStr">
        <is>
          <t>Shafts</t>
        </is>
      </c>
      <c r="D54" s="2" t="inlineStr">
        <is>
          <t>West</t>
        </is>
      </c>
      <c r="E54" s="2" t="n">
        <v>773</v>
      </c>
      <c r="F54" s="2" t="n">
        <v>450</v>
      </c>
      <c r="G54" s="2" t="n">
        <v>220</v>
      </c>
      <c r="H54" s="2" t="n">
        <v>50</v>
      </c>
      <c r="I54" s="2" t="n">
        <v>22</v>
      </c>
      <c r="J54" s="3" t="n">
        <v>347850</v>
      </c>
      <c r="K54" s="3" t="n">
        <v>170060</v>
      </c>
      <c r="L54" s="3" t="n">
        <v>38650</v>
      </c>
      <c r="M54" s="3" t="n">
        <v>17006</v>
      </c>
      <c r="N54" s="3" t="n">
        <v>225716</v>
      </c>
      <c r="O54" s="3" t="n">
        <v>292</v>
      </c>
      <c r="P54" s="3" t="n">
        <v>122134</v>
      </c>
      <c r="Q54" s="3" t="n">
        <v>158</v>
      </c>
      <c r="R54" s="4" t="n">
        <v>0.3511111111111111</v>
      </c>
    </row>
    <row r="55">
      <c r="A55" s="2" t="n">
        <v>54</v>
      </c>
      <c r="B55" s="2" t="inlineStr">
        <is>
          <t>Jun-2023</t>
        </is>
      </c>
      <c r="C55" s="2" t="inlineStr">
        <is>
          <t>Bearings</t>
        </is>
      </c>
      <c r="D55" s="2" t="inlineStr">
        <is>
          <t>West</t>
        </is>
      </c>
      <c r="E55" s="2" t="n">
        <v>784</v>
      </c>
      <c r="F55" s="2" t="n">
        <v>400</v>
      </c>
      <c r="G55" s="2" t="n">
        <v>210</v>
      </c>
      <c r="H55" s="2" t="n">
        <v>48</v>
      </c>
      <c r="I55" s="2" t="n">
        <v>20</v>
      </c>
      <c r="J55" s="3" t="n">
        <v>313600</v>
      </c>
      <c r="K55" s="3" t="n">
        <v>164640</v>
      </c>
      <c r="L55" s="3" t="n">
        <v>37632</v>
      </c>
      <c r="M55" s="3" t="n">
        <v>15680</v>
      </c>
      <c r="N55" s="3" t="n">
        <v>217952</v>
      </c>
      <c r="O55" s="3" t="n">
        <v>278</v>
      </c>
      <c r="P55" s="3" t="n">
        <v>95648</v>
      </c>
      <c r="Q55" s="3" t="n">
        <v>122</v>
      </c>
      <c r="R55" s="4" t="n">
        <v>0.305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5" t="inlineStr">
        <is>
          <t>Product</t>
        </is>
      </c>
      <c r="B1" s="5" t="inlineStr">
        <is>
          <t>Sales Units</t>
        </is>
      </c>
      <c r="C1" s="5" t="inlineStr">
        <is>
          <t>Total Cost / Unit</t>
        </is>
      </c>
      <c r="D1" s="5" t="inlineStr">
        <is>
          <t>Gross Profit / Unit</t>
        </is>
      </c>
      <c r="E1" s="5" t="inlineStr">
        <is>
          <t>Check: Unit Cost + Unit Profit</t>
        </is>
      </c>
      <c r="F1" s="5" t="inlineStr">
        <is>
          <t>Revenue / Unit</t>
        </is>
      </c>
      <c r="G1" s="5" t="inlineStr">
        <is>
          <t>Margin %</t>
        </is>
      </c>
    </row>
    <row r="2">
      <c r="A2" t="inlineStr">
        <is>
          <t>Gears</t>
        </is>
      </c>
      <c r="B2">
        <f>SUMIF(Profitability_Working_Data!$C$2:$C$55,A2,Profitability_Working_Data!$E$2:$E$55)</f>
        <v/>
      </c>
      <c r="C2">
        <f>SUMIF(Profitability_Working_Data!$C$2:$C$55,A2,Profitability_Working_Data!$N$2:$N$55)/B2</f>
        <v/>
      </c>
      <c r="D2">
        <f>SUMIF(Profitability_Working_Data!$C$2:$C$55,A2,Profitability_Working_Data!$P$2:$P$55)/B2</f>
        <v/>
      </c>
      <c r="E2">
        <f>C2+D2</f>
        <v/>
      </c>
      <c r="F2">
        <f>SUMIF(Profitability_Working_Data!$C$2:$C$55,A2,Profitability_Working_Data!$J$2:$J$55)/SUMIF(Profitability_Working_Data!$C$2:$C$55,A2,Profitability_Working_Data!$E$2:$E$55)</f>
        <v/>
      </c>
      <c r="G2">
        <f>SUMIF(Profitability_Working_Data!$C$2:$C$55,A2,Profitability_Working_Data!$P$2:$P$55)/SUMIF(Profitability_Working_Data!$C$2:$C$55,A2,Profitability_Working_Data!$J$2:$J$55)</f>
        <v/>
      </c>
    </row>
    <row r="3">
      <c r="A3" t="inlineStr">
        <is>
          <t>Shafts</t>
        </is>
      </c>
      <c r="B3">
        <f>SUMIF(Profitability_Working_Data!$C$2:$C$55,A3,Profitability_Working_Data!$E$2:$E$55)</f>
        <v/>
      </c>
      <c r="C3">
        <f>SUMIF(Profitability_Working_Data!$C$2:$C$55,A3,Profitability_Working_Data!$N$2:$N$55)/B3</f>
        <v/>
      </c>
      <c r="D3">
        <f>SUMIF(Profitability_Working_Data!$C$2:$C$55,A3,Profitability_Working_Data!$P$2:$P$55)/B3</f>
        <v/>
      </c>
      <c r="E3">
        <f>C3+D3</f>
        <v/>
      </c>
      <c r="F3">
        <f>SUMIF(Profitability_Working_Data!$C$2:$C$55,A3,Profitability_Working_Data!$J$2:$J$55)/SUMIF(Profitability_Working_Data!$C$2:$C$55,A3,Profitability_Working_Data!$E$2:$E$55)</f>
        <v/>
      </c>
      <c r="G3">
        <f>SUMIF(Profitability_Working_Data!$C$2:$C$55,A3,Profitability_Working_Data!$P$2:$P$55)/SUMIF(Profitability_Working_Data!$C$2:$C$55,A3,Profitability_Working_Data!$J$2:$J$55)</f>
        <v/>
      </c>
    </row>
    <row r="4">
      <c r="A4" t="inlineStr">
        <is>
          <t>Bearings</t>
        </is>
      </c>
      <c r="B4">
        <f>SUMIF(Profitability_Working_Data!$C$2:$C$55,A4,Profitability_Working_Data!$E$2:$E$55)</f>
        <v/>
      </c>
      <c r="C4">
        <f>SUMIF(Profitability_Working_Data!$C$2:$C$55,A4,Profitability_Working_Data!$N$2:$N$55)/B4</f>
        <v/>
      </c>
      <c r="D4">
        <f>SUMIF(Profitability_Working_Data!$C$2:$C$55,A4,Profitability_Working_Data!$P$2:$P$55)/B4</f>
        <v/>
      </c>
      <c r="E4">
        <f>C4+D4</f>
        <v/>
      </c>
      <c r="F4">
        <f>SUMIF(Profitability_Working_Data!$C$2:$C$55,A4,Profitability_Working_Data!$J$2:$J$55)/SUMIF(Profitability_Working_Data!$C$2:$C$55,A4,Profitability_Working_Data!$E$2:$E$55)</f>
        <v/>
      </c>
      <c r="G4">
        <f>SUMIF(Profitability_Working_Data!$C$2:$C$55,A4,Profitability_Working_Data!$P$2:$P$55)/SUMIF(Profitability_Working_Data!$C$2:$C$55,A4,Profitability_Working_Data!$J$2:$J$55)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16" customWidth="1" min="4" max="4"/>
  </cols>
  <sheetData>
    <row r="1">
      <c r="A1" s="5" t="inlineStr">
        <is>
          <t>Product</t>
        </is>
      </c>
      <c r="B1" s="5" t="inlineStr">
        <is>
          <t>Sales Units</t>
        </is>
      </c>
      <c r="C1" s="5" t="inlineStr">
        <is>
          <t>Revenue</t>
        </is>
      </c>
      <c r="D1" s="5" t="inlineStr">
        <is>
          <t>Revenue / Unit</t>
        </is>
      </c>
    </row>
    <row r="2">
      <c r="A2" t="inlineStr">
        <is>
          <t>Gears</t>
        </is>
      </c>
      <c r="B2">
        <f>SUMIF(Profitability_Working_Data!$C$2:$C$55,A2,Profitability_Working_Data!$E$2:$E$55)</f>
        <v/>
      </c>
      <c r="C2">
        <f>SUMIF(Profitability_Working_Data!$C$2:$C$55,A2,Profitability_Working_Data!$J$2:$J$55)</f>
        <v/>
      </c>
      <c r="D2">
        <f>C2/B2</f>
        <v/>
      </c>
    </row>
    <row r="3">
      <c r="A3" t="inlineStr">
        <is>
          <t>Shafts</t>
        </is>
      </c>
      <c r="B3">
        <f>SUMIF(Profitability_Working_Data!$C$2:$C$55,A3,Profitability_Working_Data!$E$2:$E$55)</f>
        <v/>
      </c>
      <c r="C3">
        <f>SUMIF(Profitability_Working_Data!$C$2:$C$55,A3,Profitability_Working_Data!$J$2:$J$55)</f>
        <v/>
      </c>
      <c r="D3">
        <f>C3/B3</f>
        <v/>
      </c>
    </row>
    <row r="4">
      <c r="A4" t="inlineStr">
        <is>
          <t>Bearings</t>
        </is>
      </c>
      <c r="B4">
        <f>SUMIF(Profitability_Working_Data!$C$2:$C$55,A4,Profitability_Working_Data!$E$2:$E$55)</f>
        <v/>
      </c>
      <c r="C4">
        <f>SUMIF(Profitability_Working_Data!$C$2:$C$55,A4,Profitability_Working_Data!$J$2:$J$55)</f>
        <v/>
      </c>
      <c r="D4">
        <f>C4/B4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14" customWidth="1" min="4" max="4"/>
    <col width="14" customWidth="1" min="5" max="5"/>
    <col width="26" customWidth="1" min="6" max="6"/>
  </cols>
  <sheetData>
    <row r="1">
      <c r="A1" s="5" t="inlineStr">
        <is>
          <t>Product</t>
        </is>
      </c>
      <c r="B1" s="5" t="inlineStr">
        <is>
          <t>Revenue</t>
        </is>
      </c>
      <c r="C1" s="5" t="inlineStr">
        <is>
          <t>Total Cost</t>
        </is>
      </c>
      <c r="D1" s="5" t="inlineStr">
        <is>
          <t>Gross Profit</t>
        </is>
      </c>
      <c r="E1" s="5" t="inlineStr">
        <is>
          <t>Margin %</t>
        </is>
      </c>
      <c r="F1" s="5" t="inlineStr">
        <is>
          <t>Unit Profit</t>
        </is>
      </c>
    </row>
    <row r="2">
      <c r="A2" t="inlineStr">
        <is>
          <t>Gears</t>
        </is>
      </c>
      <c r="B2">
        <f>SUMIF(Profitability_Working_Data!$C$2:$C$55,A2,Profitability_Working_Data!$J$2:$J$55)</f>
        <v/>
      </c>
      <c r="C2">
        <f>SUMIF(Profitability_Working_Data!$C$2:$C$55,A2,Profitability_Working_Data!$N$2:$N$55)</f>
        <v/>
      </c>
      <c r="D2">
        <f>B2-C2</f>
        <v/>
      </c>
      <c r="E2">
        <f>D2/B2</f>
        <v/>
      </c>
      <c r="F2">
        <f>D2/SUMIF(Profitability_Working_Data!$C$2:$C$55,A2,Profitability_Working_Data!$E$2:$E$55)</f>
        <v/>
      </c>
    </row>
    <row r="3">
      <c r="A3" t="inlineStr">
        <is>
          <t>Shafts</t>
        </is>
      </c>
      <c r="B3">
        <f>SUMIF(Profitability_Working_Data!$C$2:$C$55,A3,Profitability_Working_Data!$J$2:$J$55)</f>
        <v/>
      </c>
      <c r="C3">
        <f>SUMIF(Profitability_Working_Data!$C$2:$C$55,A3,Profitability_Working_Data!$N$2:$N$55)</f>
        <v/>
      </c>
      <c r="D3">
        <f>B3-C3</f>
        <v/>
      </c>
      <c r="E3">
        <f>D3/B3</f>
        <v/>
      </c>
      <c r="F3">
        <f>D3/SUMIF(Profitability_Working_Data!$C$2:$C$55,A3,Profitability_Working_Data!$E$2:$E$55)</f>
        <v/>
      </c>
    </row>
    <row r="4">
      <c r="A4" t="inlineStr">
        <is>
          <t>Bearings</t>
        </is>
      </c>
      <c r="B4">
        <f>SUMIF(Profitability_Working_Data!$C$2:$C$55,A4,Profitability_Working_Data!$J$2:$J$55)</f>
        <v/>
      </c>
      <c r="C4">
        <f>SUMIF(Profitability_Working_Data!$C$2:$C$55,A4,Profitability_Working_Data!$N$2:$N$55)</f>
        <v/>
      </c>
      <c r="D4">
        <f>B4-C4</f>
        <v/>
      </c>
      <c r="E4">
        <f>D4/B4</f>
        <v/>
      </c>
      <c r="F4">
        <f>D4/SUMIF(Profitability_Working_Data!$C$2:$C$55,A4,Profitability_Working_Data!$E$2:$E$55)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5" t="inlineStr">
        <is>
          <t>Product</t>
        </is>
      </c>
      <c r="B1" s="5" t="inlineStr">
        <is>
          <t>Sales_Units</t>
        </is>
      </c>
      <c r="C1" s="5" t="inlineStr">
        <is>
          <t>Revenue</t>
        </is>
      </c>
      <c r="D1" s="5" t="inlineStr">
        <is>
          <t>Material_Cost</t>
        </is>
      </c>
      <c r="E1" s="5" t="inlineStr">
        <is>
          <t>Labour_Cost</t>
        </is>
      </c>
      <c r="F1" s="5" t="inlineStr">
        <is>
          <t>Overhead_Cost</t>
        </is>
      </c>
      <c r="G1" s="5" t="inlineStr">
        <is>
          <t>Total_Cost</t>
        </is>
      </c>
      <c r="H1" s="5" t="inlineStr">
        <is>
          <t>Gross_Profit</t>
        </is>
      </c>
      <c r="I1" s="5" t="inlineStr">
        <is>
          <t>Unit_Cost</t>
        </is>
      </c>
      <c r="J1" s="5" t="inlineStr">
        <is>
          <t>Unit_Profit</t>
        </is>
      </c>
      <c r="K1" s="5" t="inlineStr">
        <is>
          <t>Margin_%</t>
        </is>
      </c>
    </row>
    <row r="2">
      <c r="A2" t="inlineStr">
        <is>
          <t>Bearings</t>
        </is>
      </c>
      <c r="B2" t="n">
        <v>12852</v>
      </c>
      <c r="C2" t="n">
        <v>5140800</v>
      </c>
      <c r="D2" t="n">
        <v>2698920</v>
      </c>
      <c r="E2" t="n">
        <v>616896</v>
      </c>
      <c r="F2" t="n">
        <v>257040</v>
      </c>
      <c r="G2" t="n">
        <v>3572856</v>
      </c>
      <c r="H2" t="n">
        <v>1567944</v>
      </c>
      <c r="I2" s="6" t="n">
        <v>278</v>
      </c>
      <c r="J2" s="6" t="n">
        <v>122</v>
      </c>
      <c r="K2" s="6" t="n">
        <v>0.305</v>
      </c>
    </row>
    <row r="3">
      <c r="A3" t="inlineStr">
        <is>
          <t>Gears</t>
        </is>
      </c>
      <c r="B3" t="n">
        <v>13586</v>
      </c>
      <c r="C3" t="n">
        <v>6793000</v>
      </c>
      <c r="D3" t="n">
        <v>3124780</v>
      </c>
      <c r="E3" t="n">
        <v>747230</v>
      </c>
      <c r="F3" t="n">
        <v>339650</v>
      </c>
      <c r="G3" t="n">
        <v>4211660</v>
      </c>
      <c r="H3" t="n">
        <v>2581340</v>
      </c>
      <c r="I3" s="6" t="n">
        <v>310</v>
      </c>
      <c r="J3" s="6" t="n">
        <v>190</v>
      </c>
      <c r="K3" s="6" t="n">
        <v>0.38</v>
      </c>
    </row>
    <row r="4">
      <c r="A4" t="inlineStr">
        <is>
          <t>Shafts</t>
        </is>
      </c>
      <c r="B4" t="n">
        <v>12668</v>
      </c>
      <c r="C4" t="n">
        <v>5700600</v>
      </c>
      <c r="D4" t="n">
        <v>2786960</v>
      </c>
      <c r="E4" t="n">
        <v>633400</v>
      </c>
      <c r="F4" t="n">
        <v>278696</v>
      </c>
      <c r="G4" t="n">
        <v>3699056</v>
      </c>
      <c r="H4" t="n">
        <v>2001544</v>
      </c>
      <c r="I4" s="6" t="n">
        <v>292</v>
      </c>
      <c r="J4" s="6" t="n">
        <v>158</v>
      </c>
      <c r="K4" s="6" t="n">
        <v>0.3511111111111111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Month</t>
        </is>
      </c>
      <c r="B1" s="5" t="inlineStr">
        <is>
          <t>Sales_Units</t>
        </is>
      </c>
      <c r="C1" s="5" t="inlineStr">
        <is>
          <t>Revenue</t>
        </is>
      </c>
      <c r="D1" s="5" t="inlineStr">
        <is>
          <t>Total_Cost</t>
        </is>
      </c>
      <c r="E1" s="5" t="inlineStr">
        <is>
          <t>Gross_Profit</t>
        </is>
      </c>
      <c r="F1" s="5" t="inlineStr">
        <is>
          <t>Unit_Cost</t>
        </is>
      </c>
      <c r="G1" s="5" t="inlineStr">
        <is>
          <t>Unit_Profit</t>
        </is>
      </c>
      <c r="H1" s="5" t="inlineStr">
        <is>
          <t>Margin_%</t>
        </is>
      </c>
    </row>
    <row r="2">
      <c r="A2" t="inlineStr">
        <is>
          <t>Jan-2023</t>
        </is>
      </c>
      <c r="B2" t="n">
        <v>5880</v>
      </c>
      <c r="C2" t="n">
        <v>2651550</v>
      </c>
      <c r="D2" t="n">
        <v>1726686</v>
      </c>
      <c r="E2" t="n">
        <v>924864</v>
      </c>
      <c r="F2" s="6" t="n">
        <v>293.6540816326531</v>
      </c>
      <c r="G2" s="6" t="n">
        <v>157.2897959183674</v>
      </c>
      <c r="H2" s="6" t="n">
        <v>0.3488012671833456</v>
      </c>
    </row>
    <row r="3">
      <c r="A3" t="inlineStr">
        <is>
          <t>Feb-2023</t>
        </is>
      </c>
      <c r="B3" t="n">
        <v>6134</v>
      </c>
      <c r="C3" t="n">
        <v>2766050</v>
      </c>
      <c r="D3" t="n">
        <v>1801262</v>
      </c>
      <c r="E3" t="n">
        <v>964788</v>
      </c>
      <c r="F3" s="6" t="n">
        <v>293.6521030322791</v>
      </c>
      <c r="G3" s="6" t="n">
        <v>157.2852950766221</v>
      </c>
      <c r="H3" s="6" t="n">
        <v>0.3487962979700295</v>
      </c>
    </row>
    <row r="4">
      <c r="A4" t="inlineStr">
        <is>
          <t>Mar-2023</t>
        </is>
      </c>
      <c r="B4" t="n">
        <v>6390</v>
      </c>
      <c r="C4" t="n">
        <v>2881500</v>
      </c>
      <c r="D4" t="n">
        <v>1876440</v>
      </c>
      <c r="E4" t="n">
        <v>1005060</v>
      </c>
      <c r="F4" s="6" t="n">
        <v>293.6525821596244</v>
      </c>
      <c r="G4" s="6" t="n">
        <v>157.2863849765258</v>
      </c>
      <c r="H4" s="6" t="n">
        <v>0.3487975013014055</v>
      </c>
    </row>
    <row r="5">
      <c r="A5" t="inlineStr">
        <is>
          <t>Apr-2023</t>
        </is>
      </c>
      <c r="B5" t="n">
        <v>6646</v>
      </c>
      <c r="C5" t="n">
        <v>2996950</v>
      </c>
      <c r="D5" t="n">
        <v>1951618</v>
      </c>
      <c r="E5" t="n">
        <v>1045332</v>
      </c>
      <c r="F5" s="6" t="n">
        <v>293.6530243755643</v>
      </c>
      <c r="G5" s="6" t="n">
        <v>157.2873909118267</v>
      </c>
      <c r="H5" s="6" t="n">
        <v>0.3487986119221208</v>
      </c>
    </row>
    <row r="6">
      <c r="A6" t="inlineStr">
        <is>
          <t>May-2023</t>
        </is>
      </c>
      <c r="B6" t="n">
        <v>6900</v>
      </c>
      <c r="C6" t="n">
        <v>3111450</v>
      </c>
      <c r="D6" t="n">
        <v>2026194</v>
      </c>
      <c r="E6" t="n">
        <v>1085256</v>
      </c>
      <c r="F6" s="6" t="n">
        <v>293.6513043478261</v>
      </c>
      <c r="G6" s="6" t="n">
        <v>157.2834782608696</v>
      </c>
      <c r="H6" s="6" t="n">
        <v>0.3487942920503302</v>
      </c>
    </row>
    <row r="7">
      <c r="A7" t="inlineStr">
        <is>
          <t>Jun-2023</t>
        </is>
      </c>
      <c r="B7" t="n">
        <v>7156</v>
      </c>
      <c r="C7" t="n">
        <v>3226900</v>
      </c>
      <c r="D7" t="n">
        <v>2101372</v>
      </c>
      <c r="E7" t="n">
        <v>1125528</v>
      </c>
      <c r="F7" s="6" t="n">
        <v>293.6517607602012</v>
      </c>
      <c r="G7" s="6" t="n">
        <v>157.284516489659</v>
      </c>
      <c r="H7" s="6" t="n">
        <v>0.3487954383464006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Region</t>
        </is>
      </c>
      <c r="B1" s="5" t="inlineStr">
        <is>
          <t>Sales_Units</t>
        </is>
      </c>
      <c r="C1" s="5" t="inlineStr">
        <is>
          <t>Revenue</t>
        </is>
      </c>
      <c r="D1" s="5" t="inlineStr">
        <is>
          <t>Total_Cost</t>
        </is>
      </c>
      <c r="E1" s="5" t="inlineStr">
        <is>
          <t>Gross_Profit</t>
        </is>
      </c>
      <c r="F1" s="5" t="inlineStr">
        <is>
          <t>Unit_Cost</t>
        </is>
      </c>
      <c r="G1" s="5" t="inlineStr">
        <is>
          <t>Unit_Profit</t>
        </is>
      </c>
      <c r="H1" s="5" t="inlineStr">
        <is>
          <t>Margin_%</t>
        </is>
      </c>
    </row>
    <row r="2">
      <c r="A2" t="inlineStr">
        <is>
          <t>North</t>
        </is>
      </c>
      <c r="B2" t="n">
        <v>13686</v>
      </c>
      <c r="C2" t="n">
        <v>6171550</v>
      </c>
      <c r="D2" t="n">
        <v>4018930</v>
      </c>
      <c r="E2" t="n">
        <v>2152620</v>
      </c>
      <c r="F2" s="6" t="n">
        <v>293.6526377319889</v>
      </c>
      <c r="G2" s="6" t="n">
        <v>157.2862779482683</v>
      </c>
      <c r="H2" s="6" t="n">
        <v>0.3487973037567548</v>
      </c>
    </row>
    <row r="3">
      <c r="A3" t="inlineStr">
        <is>
          <t>South</t>
        </is>
      </c>
      <c r="B3" t="n">
        <v>12384</v>
      </c>
      <c r="C3" t="n">
        <v>5584400</v>
      </c>
      <c r="D3" t="n">
        <v>3636584</v>
      </c>
      <c r="E3" t="n">
        <v>1947816</v>
      </c>
      <c r="F3" s="6" t="n">
        <v>293.6518087855297</v>
      </c>
      <c r="G3" s="6" t="n">
        <v>157.2848837209302</v>
      </c>
      <c r="H3" s="6" t="n">
        <v>0.3487959315235298</v>
      </c>
    </row>
    <row r="4">
      <c r="A4" t="inlineStr">
        <is>
          <t>West</t>
        </is>
      </c>
      <c r="B4" t="n">
        <v>13036</v>
      </c>
      <c r="C4" t="n">
        <v>5878450</v>
      </c>
      <c r="D4" t="n">
        <v>3828058</v>
      </c>
      <c r="E4" t="n">
        <v>2050392</v>
      </c>
      <c r="F4" s="6" t="n">
        <v>293.6528076096963</v>
      </c>
      <c r="G4" s="6" t="n">
        <v>157.2868978214176</v>
      </c>
      <c r="H4" s="6" t="n">
        <v>0.3487980675177981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5" t="inlineStr">
        <is>
          <t>Product</t>
        </is>
      </c>
      <c r="B1" s="5" t="inlineStr">
        <is>
          <t>Material_Cost</t>
        </is>
      </c>
      <c r="C1" s="5" t="inlineStr">
        <is>
          <t>Labour_Cost</t>
        </is>
      </c>
      <c r="D1" s="5" t="inlineStr">
        <is>
          <t>Overhead_Cost</t>
        </is>
      </c>
      <c r="E1" s="5" t="inlineStr">
        <is>
          <t>Total_Cost</t>
        </is>
      </c>
    </row>
    <row r="2">
      <c r="A2" t="inlineStr">
        <is>
          <t>Bearings</t>
        </is>
      </c>
      <c r="B2" t="n">
        <v>2698920</v>
      </c>
      <c r="C2" t="n">
        <v>616896</v>
      </c>
      <c r="D2" t="n">
        <v>257040</v>
      </c>
      <c r="E2" t="n">
        <v>3572856</v>
      </c>
    </row>
    <row r="3">
      <c r="A3" t="inlineStr">
        <is>
          <t>Gears</t>
        </is>
      </c>
      <c r="B3" t="n">
        <v>3124780</v>
      </c>
      <c r="C3" t="n">
        <v>747230</v>
      </c>
      <c r="D3" t="n">
        <v>339650</v>
      </c>
      <c r="E3" t="n">
        <v>4211660</v>
      </c>
    </row>
    <row r="4">
      <c r="A4" t="inlineStr">
        <is>
          <t>Shafts</t>
        </is>
      </c>
      <c r="B4" t="n">
        <v>2786960</v>
      </c>
      <c r="C4" t="n">
        <v>633400</v>
      </c>
      <c r="D4" t="n">
        <v>278696</v>
      </c>
      <c r="E4" t="n">
        <v>3699056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>
      <c r="A1" s="1" t="inlineStr">
        <is>
          <t>Question</t>
        </is>
      </c>
      <c r="B1" s="1" t="inlineStr">
        <is>
          <t>Expected Working</t>
        </is>
      </c>
    </row>
    <row r="2">
      <c r="A2" s="2" t="inlineStr">
        <is>
          <t>1. Which product has the highest gross profit per unit?</t>
        </is>
      </c>
      <c r="B2" s="2" t="inlineStr">
        <is>
          <t>Compare Unit Profit in Unit_Cost_Working.</t>
        </is>
      </c>
    </row>
    <row r="3">
      <c r="A3" s="2" t="inlineStr">
        <is>
          <t>2. How is unit cost calculated?</t>
        </is>
      </c>
      <c r="B3" s="2" t="inlineStr">
        <is>
          <t>Total Cost ÷ Sales Units.</t>
        </is>
      </c>
    </row>
    <row r="4">
      <c r="A4" s="2" t="inlineStr">
        <is>
          <t>3. How is unit profit calculated?</t>
        </is>
      </c>
      <c r="B4" s="2" t="inlineStr">
        <is>
          <t>Gross Profit ÷ Sales Units.</t>
        </is>
      </c>
    </row>
    <row r="5">
      <c r="A5" s="2" t="inlineStr">
        <is>
          <t>4. How is gross profit calculated?</t>
        </is>
      </c>
      <c r="B5" s="2" t="inlineStr">
        <is>
          <t>Revenue − Total Cost.</t>
        </is>
      </c>
    </row>
    <row r="6">
      <c r="A6" s="2" t="inlineStr">
        <is>
          <t>5. How is profit margin calculated?</t>
        </is>
      </c>
      <c r="B6" s="2" t="inlineStr">
        <is>
          <t>Gross Profit ÷ Revenue.</t>
        </is>
      </c>
    </row>
    <row r="7">
      <c r="A7" s="2" t="inlineStr">
        <is>
          <t>6. Which cost component is largest?</t>
        </is>
      </c>
      <c r="B7" s="2" t="inlineStr">
        <is>
          <t>Compare Material, Labour and Overhead Cost.</t>
        </is>
      </c>
    </row>
    <row r="8">
      <c r="A8" s="2" t="inlineStr">
        <is>
          <t>7. How can monthly profitability be reviewed?</t>
        </is>
      </c>
      <c r="B8" s="2" t="inlineStr">
        <is>
          <t>Compare Revenue, Total Cost, Gross Profit and Margin %.</t>
        </is>
      </c>
    </row>
    <row r="9">
      <c r="A9" s="2" t="inlineStr">
        <is>
          <t>8. Why can high revenue and high profit differ?</t>
        </is>
      </c>
      <c r="B9" s="2" t="inlineStr">
        <is>
          <t>Revenue and cost structures can differ by product.</t>
        </is>
      </c>
    </row>
    <row r="10">
      <c r="A10" s="2" t="inlineStr">
        <is>
          <t>9. What is the role of unit economics?</t>
        </is>
      </c>
      <c r="B10" s="2" t="inlineStr">
        <is>
          <t>It shows economics of one saleable unit.</t>
        </is>
      </c>
    </row>
    <row r="11">
      <c r="A11" s="2" t="inlineStr">
        <is>
          <t>10. What should be checked before a business conclusion?</t>
        </is>
      </c>
      <c r="B11" s="2" t="inlineStr">
        <is>
          <t>Units, prices, costs, formulas and data quality.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Metric / Insight</t>
        </is>
      </c>
      <c r="B1" s="1" t="inlineStr">
        <is>
          <t>Illustrative Result</t>
        </is>
      </c>
    </row>
    <row r="2">
      <c r="A2" s="2" t="inlineStr">
        <is>
          <t>Dataset type</t>
        </is>
      </c>
      <c r="B2" s="2" t="inlineStr">
        <is>
          <t>Illustrative ACE Gears-style manufacturing dataset; not official IITM data.</t>
        </is>
      </c>
    </row>
    <row r="3">
      <c r="A3" s="2" t="inlineStr">
        <is>
          <t>Observation period</t>
        </is>
      </c>
      <c r="B3" s="2" t="inlineStr">
        <is>
          <t>Jan-2023 to Jun-2023</t>
        </is>
      </c>
    </row>
    <row r="4">
      <c r="A4" s="2" t="inlineStr">
        <is>
          <t>Products</t>
        </is>
      </c>
      <c r="B4" s="2" t="inlineStr">
        <is>
          <t>Gears, Shafts, Bearings</t>
        </is>
      </c>
    </row>
    <row r="5">
      <c r="A5" s="2" t="inlineStr">
        <is>
          <t>Regions</t>
        </is>
      </c>
      <c r="B5" s="2" t="inlineStr">
        <is>
          <t>North, South, West</t>
        </is>
      </c>
    </row>
    <row r="6">
      <c r="A6" s="2" t="inlineStr">
        <is>
          <t>Primary profitability flow</t>
        </is>
      </c>
      <c r="B6" s="2" t="inlineStr">
        <is>
          <t>Sales Units → Revenue → Total Cost → Gross Profit → Unit Profit → Margin %</t>
        </is>
      </c>
    </row>
    <row r="7">
      <c r="A7" s="2" t="inlineStr">
        <is>
          <t>Largest cost component</t>
        </is>
      </c>
      <c r="B7" s="2" t="inlineStr">
        <is>
          <t>Material cost is the largest component in this illustrative dataset.</t>
        </is>
      </c>
    </row>
    <row r="8">
      <c r="A8" s="2" t="inlineStr">
        <is>
          <t>Use of unit profitability</t>
        </is>
      </c>
      <c r="B8" s="2" t="inlineStr">
        <is>
          <t>Supports product-level comparison of revenue, cost and profit per unit.</t>
        </is>
      </c>
    </row>
    <row r="9">
      <c r="A9" s="2" t="inlineStr">
        <is>
          <t>Interpretation caution</t>
        </is>
      </c>
      <c r="B9" s="2" t="inlineStr">
        <is>
          <t>These figures are for learning/practice, not real company performance.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Meaning</t>
        </is>
      </c>
      <c r="C1" s="1" t="inlineStr">
        <is>
          <t>Calculation / Source</t>
        </is>
      </c>
    </row>
    <row r="2">
      <c r="A2" s="2" t="inlineStr">
        <is>
          <t>Record_ID</t>
        </is>
      </c>
      <c r="B2" s="2" t="inlineStr">
        <is>
          <t>Unique row identifier</t>
        </is>
      </c>
      <c r="C2" s="2" t="inlineStr">
        <is>
          <t>Sequential identifier</t>
        </is>
      </c>
    </row>
    <row r="3">
      <c r="A3" s="2" t="inlineStr">
        <is>
          <t>Month</t>
        </is>
      </c>
      <c r="B3" s="2" t="inlineStr">
        <is>
          <t>Observation month</t>
        </is>
      </c>
      <c r="C3" s="2" t="inlineStr">
        <is>
          <t>Jan-2023 to Jun-2023</t>
        </is>
      </c>
    </row>
    <row r="4">
      <c r="A4" s="2" t="inlineStr">
        <is>
          <t>Product</t>
        </is>
      </c>
      <c r="B4" s="2" t="inlineStr">
        <is>
          <t>Product category</t>
        </is>
      </c>
      <c r="C4" s="2" t="inlineStr">
        <is>
          <t>Gears / Shafts / Bearings</t>
        </is>
      </c>
    </row>
    <row r="5">
      <c r="A5" s="2" t="inlineStr">
        <is>
          <t>Region</t>
        </is>
      </c>
      <c r="B5" s="2" t="inlineStr">
        <is>
          <t>Sales/operating region</t>
        </is>
      </c>
      <c r="C5" s="2" t="inlineStr">
        <is>
          <t>North / South / West</t>
        </is>
      </c>
    </row>
    <row r="6">
      <c r="A6" s="2" t="inlineStr">
        <is>
          <t>Sales_Units</t>
        </is>
      </c>
      <c r="B6" s="2" t="inlineStr">
        <is>
          <t>Units sold</t>
        </is>
      </c>
      <c r="C6" s="2" t="inlineStr">
        <is>
          <t>Illustrative input</t>
        </is>
      </c>
    </row>
    <row r="7">
      <c r="A7" s="2" t="inlineStr">
        <is>
          <t>Selling_Price_per_Unit</t>
        </is>
      </c>
      <c r="B7" s="2" t="inlineStr">
        <is>
          <t>Price per unit</t>
        </is>
      </c>
      <c r="C7" s="2" t="inlineStr">
        <is>
          <t>Illustrative input</t>
        </is>
      </c>
    </row>
    <row r="8">
      <c r="A8" s="2" t="inlineStr">
        <is>
          <t>Revenue</t>
        </is>
      </c>
      <c r="B8" s="2" t="inlineStr">
        <is>
          <t>Sales value</t>
        </is>
      </c>
      <c r="C8" s="2" t="inlineStr">
        <is>
          <t>Sales Units × Selling Price per Unit</t>
        </is>
      </c>
    </row>
    <row r="9">
      <c r="A9" s="2" t="inlineStr">
        <is>
          <t>Material_Cost</t>
        </is>
      </c>
      <c r="B9" s="2" t="inlineStr">
        <is>
          <t>Total material cost</t>
        </is>
      </c>
      <c r="C9" s="2" t="inlineStr">
        <is>
          <t>Sales Units × Material Cost per Unit</t>
        </is>
      </c>
    </row>
    <row r="10">
      <c r="A10" s="2" t="inlineStr">
        <is>
          <t>Labour_Cost</t>
        </is>
      </c>
      <c r="B10" s="2" t="inlineStr">
        <is>
          <t>Total labour cost</t>
        </is>
      </c>
      <c r="C10" s="2" t="inlineStr">
        <is>
          <t>Sales Units × Labour Cost per Unit</t>
        </is>
      </c>
    </row>
    <row r="11">
      <c r="A11" s="2" t="inlineStr">
        <is>
          <t>Overhead_Cost</t>
        </is>
      </c>
      <c r="B11" s="2" t="inlineStr">
        <is>
          <t>Total overhead cost</t>
        </is>
      </c>
      <c r="C11" s="2" t="inlineStr">
        <is>
          <t>Sales Units × Overhead per Unit</t>
        </is>
      </c>
    </row>
    <row r="12">
      <c r="A12" s="2" t="inlineStr">
        <is>
          <t>Total_Cost</t>
        </is>
      </c>
      <c r="B12" s="2" t="inlineStr">
        <is>
          <t>Total modeled cost</t>
        </is>
      </c>
      <c r="C12" s="2" t="inlineStr">
        <is>
          <t>Material + Labour + Overhead</t>
        </is>
      </c>
    </row>
    <row r="13">
      <c r="A13" s="2" t="inlineStr">
        <is>
          <t>Unit_Cost</t>
        </is>
      </c>
      <c r="B13" s="2" t="inlineStr">
        <is>
          <t>Cost per sold unit</t>
        </is>
      </c>
      <c r="C13" s="2" t="inlineStr">
        <is>
          <t>Total Cost ÷ Sales Units</t>
        </is>
      </c>
    </row>
    <row r="14">
      <c r="A14" s="2" t="inlineStr">
        <is>
          <t>Gross_Profit</t>
        </is>
      </c>
      <c r="B14" s="2" t="inlineStr">
        <is>
          <t>Profit before modeled non-operating items</t>
        </is>
      </c>
      <c r="C14" s="2" t="inlineStr">
        <is>
          <t>Revenue − Total Cost</t>
        </is>
      </c>
    </row>
    <row r="15">
      <c r="A15" s="2" t="inlineStr">
        <is>
          <t>Unit_Profit</t>
        </is>
      </c>
      <c r="B15" s="2" t="inlineStr">
        <is>
          <t>Gross profit per unit</t>
        </is>
      </c>
      <c r="C15" s="2" t="inlineStr">
        <is>
          <t>Gross Profit ÷ Sales Units</t>
        </is>
      </c>
    </row>
    <row r="16">
      <c r="A16" s="2" t="inlineStr">
        <is>
          <t>Margin_%</t>
        </is>
      </c>
      <c r="B16" s="2" t="inlineStr">
        <is>
          <t>Gross profit margin</t>
        </is>
      </c>
      <c r="C16" s="2" t="inlineStr">
        <is>
          <t>Gross Profit ÷ Revenue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1" t="inlineStr">
        <is>
          <t>Step</t>
        </is>
      </c>
      <c r="B1" s="1" t="inlineStr">
        <is>
          <t>Formula / Working</t>
        </is>
      </c>
    </row>
    <row r="2">
      <c r="A2" s="2" t="inlineStr">
        <is>
          <t>1</t>
        </is>
      </c>
      <c r="B2" s="2" t="inlineStr">
        <is>
          <t>Revenue = Sales Units × Selling Price per Unit</t>
        </is>
      </c>
    </row>
    <row r="3">
      <c r="A3" s="2" t="inlineStr">
        <is>
          <t>2</t>
        </is>
      </c>
      <c r="B3" s="2" t="inlineStr">
        <is>
          <t>Material Cost = Sales Units × Material Cost per Unit</t>
        </is>
      </c>
    </row>
    <row r="4">
      <c r="A4" s="2" t="inlineStr">
        <is>
          <t>3</t>
        </is>
      </c>
      <c r="B4" s="2" t="inlineStr">
        <is>
          <t>Labour Cost = Sales Units × Labour Cost per Unit</t>
        </is>
      </c>
    </row>
    <row r="5">
      <c r="A5" s="2" t="inlineStr">
        <is>
          <t>4</t>
        </is>
      </c>
      <c r="B5" s="2" t="inlineStr">
        <is>
          <t>Overhead Cost = Sales Units × Overhead per Unit</t>
        </is>
      </c>
    </row>
    <row r="6">
      <c r="A6" s="2" t="inlineStr">
        <is>
          <t>5</t>
        </is>
      </c>
      <c r="B6" s="2" t="inlineStr">
        <is>
          <t>Total Cost = Material Cost + Labour Cost + Overhead Cost</t>
        </is>
      </c>
    </row>
    <row r="7">
      <c r="A7" s="2" t="inlineStr">
        <is>
          <t>6</t>
        </is>
      </c>
      <c r="B7" s="2" t="inlineStr">
        <is>
          <t>Unit Cost = Total Cost ÷ Sales Units</t>
        </is>
      </c>
    </row>
    <row r="8">
      <c r="A8" s="2" t="inlineStr">
        <is>
          <t>7</t>
        </is>
      </c>
      <c r="B8" s="2" t="inlineStr">
        <is>
          <t>Gross Profit = Revenue − Total Cost</t>
        </is>
      </c>
    </row>
    <row r="9">
      <c r="A9" s="2" t="inlineStr">
        <is>
          <t>8</t>
        </is>
      </c>
      <c r="B9" s="2" t="inlineStr">
        <is>
          <t>Unit Profit = Gross Profit ÷ Sales Units</t>
        </is>
      </c>
    </row>
    <row r="10">
      <c r="A10" s="2" t="inlineStr">
        <is>
          <t>9</t>
        </is>
      </c>
      <c r="B10" s="2" t="inlineStr">
        <is>
          <t>Margin % = Gross Profit ÷ Revenue</t>
        </is>
      </c>
    </row>
    <row r="11">
      <c r="A11" s="2" t="inlineStr">
        <is>
          <t>10</t>
        </is>
      </c>
      <c r="B11" s="2" t="inlineStr">
        <is>
          <t>Compare products using Unit Cost, Unit Profit and Margin %</t>
        </is>
      </c>
    </row>
    <row r="12">
      <c r="A12" s="2" t="inlineStr">
        <is>
          <t>11</t>
        </is>
      </c>
      <c r="B12" s="2" t="inlineStr">
        <is>
          <t>Compare months using Revenue, Cost, Gross Profit and Margin %</t>
        </is>
      </c>
    </row>
    <row r="13">
      <c r="A13" s="2" t="inlineStr">
        <is>
          <t>12</t>
        </is>
      </c>
      <c r="B13" s="2" t="inlineStr">
        <is>
          <t>Compare regions using the same profitability metrics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Section</t>
        </is>
      </c>
      <c r="B1" s="1" t="inlineStr">
        <is>
          <t>Instruction</t>
        </is>
      </c>
    </row>
    <row r="2">
      <c r="A2" s="2" t="inlineStr">
        <is>
          <t>Objective</t>
        </is>
      </c>
      <c r="B2" s="2" t="inlineStr">
        <is>
          <t>Practice detailed unit-level profitability calculations.</t>
        </is>
      </c>
    </row>
    <row r="3">
      <c r="A3" s="2" t="inlineStr">
        <is>
          <t>Workbook flow</t>
        </is>
      </c>
      <c r="B3" s="2" t="inlineStr">
        <is>
          <t>Start with Profitability_Working_Data and follow the working sheets.</t>
        </is>
      </c>
    </row>
    <row r="4">
      <c r="A4" s="2" t="inlineStr">
        <is>
          <t>Formula practice</t>
        </is>
      </c>
      <c r="B4" s="2" t="inlineStr">
        <is>
          <t>Trace Revenue, Cost, Gross Profit, Unit Profit and Margin.</t>
        </is>
      </c>
    </row>
    <row r="5">
      <c r="A5" s="2" t="inlineStr">
        <is>
          <t>Product analysis</t>
        </is>
      </c>
      <c r="B5" s="2" t="inlineStr">
        <is>
          <t>Use Product_Profitability and Profit_Working.</t>
        </is>
      </c>
    </row>
    <row r="6">
      <c r="A6" s="2" t="inlineStr">
        <is>
          <t>Monthly analysis</t>
        </is>
      </c>
      <c r="B6" s="2" t="inlineStr">
        <is>
          <t>Use Monthly_Profitability for trend interpretation.</t>
        </is>
      </c>
    </row>
    <row r="7">
      <c r="A7" s="2" t="inlineStr">
        <is>
          <t>Regional analysis</t>
        </is>
      </c>
      <c r="B7" s="2" t="inlineStr">
        <is>
          <t>Use Region_Profitability for regional comparison.</t>
        </is>
      </c>
    </row>
    <row r="8">
      <c r="A8" s="2" t="inlineStr">
        <is>
          <t>Cost analysis</t>
        </is>
      </c>
      <c r="B8" s="2" t="inlineStr">
        <is>
          <t>Use Cost_Component_Analysis to inspect cost structure.</t>
        </is>
      </c>
    </row>
    <row r="9">
      <c r="A9" s="2" t="inlineStr">
        <is>
          <t>Questions</t>
        </is>
      </c>
      <c r="B9" s="2" t="inlineStr">
        <is>
          <t>Complete Profitability_Questions without relying only on the dashboard.</t>
        </is>
      </c>
    </row>
    <row r="10">
      <c r="A10" s="2" t="inlineStr">
        <is>
          <t>Important</t>
        </is>
      </c>
      <c r="B10" s="2" t="inlineStr">
        <is>
          <t>All dataset values are illustrative learning data.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7" t="inlineStr">
        <is>
          <t>Day 052 — Unit Level Profitability Working</t>
        </is>
      </c>
    </row>
    <row r="3">
      <c r="A3" s="8" t="inlineStr">
        <is>
          <t>Illustrative dataset | Unit economics | Revenue | Cost | Gross Profit | Margin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2026-09-16T06:45:20Z</dcterms:created>
  <dcterms:modified xmlns:dcterms="http://purl.org/dc/terms/" xmlns:xsi="http://www.w3.org/2001/XMLSchema-instance" xsi:type="dcterms:W3CDTF">2026-09-16T06:45:20Z</dcterms:modified>
</cp:coreProperties>
</file>