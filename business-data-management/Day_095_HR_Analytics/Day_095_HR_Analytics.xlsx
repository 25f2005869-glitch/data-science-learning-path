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_HR_Data" sheetId="2" state="visible" r:id="rId2"/>
    <sheet xmlns:r="http://schemas.openxmlformats.org/officeDocument/2006/relationships" name="Data_Quality_Check" sheetId="3" state="visible" r:id="rId3"/>
    <sheet xmlns:r="http://schemas.openxmlformats.org/officeDocument/2006/relationships" name="HR_Cleaning" sheetId="4" state="visible" r:id="rId4"/>
    <sheet xmlns:r="http://schemas.openxmlformats.org/officeDocument/2006/relationships" name="Cleaned_HR_Data" sheetId="5" state="visible" r:id="rId5"/>
    <sheet xmlns:r="http://schemas.openxmlformats.org/officeDocument/2006/relationships" name="Employee_Summary" sheetId="6" state="visible" r:id="rId6"/>
    <sheet xmlns:r="http://schemas.openxmlformats.org/officeDocument/2006/relationships" name="Department_Analysis" sheetId="7" state="visible" r:id="rId7"/>
    <sheet xmlns:r="http://schemas.openxmlformats.org/officeDocument/2006/relationships" name="Job_Role_Analysis" sheetId="8" state="visible" r:id="rId8"/>
    <sheet xmlns:r="http://schemas.openxmlformats.org/officeDocument/2006/relationships" name="Salary_Analysis" sheetId="9" state="visible" r:id="rId9"/>
    <sheet xmlns:r="http://schemas.openxmlformats.org/officeDocument/2006/relationships" name="Attrition_Analysis" sheetId="10" state="visible" r:id="rId10"/>
    <sheet xmlns:r="http://schemas.openxmlformats.org/officeDocument/2006/relationships" name="Monthly_HR" sheetId="11" state="visible" r:id="rId11"/>
    <sheet xmlns:r="http://schemas.openxmlformats.org/officeDocument/2006/relationships" name="HR_KPI" sheetId="12" state="visible" r:id="rId12"/>
    <sheet xmlns:r="http://schemas.openxmlformats.org/officeDocument/2006/relationships" name="Pivot_Department" sheetId="13" state="visible" r:id="rId13"/>
    <sheet xmlns:r="http://schemas.openxmlformats.org/officeDocument/2006/relationships" name="Pivot_Role" sheetId="14" state="visible" r:id="rId14"/>
    <sheet xmlns:r="http://schemas.openxmlformats.org/officeDocument/2006/relationships" name="Chart_Data" sheetId="15" state="visible" r:id="rId15"/>
    <sheet xmlns:r="http://schemas.openxmlformats.org/officeDocument/2006/relationships" name="Charts" sheetId="16" state="visible" r:id="rId16"/>
    <sheet xmlns:r="http://schemas.openxmlformats.org/officeDocument/2006/relationships" name="HR_Insights" sheetId="17" state="visible" r:id="rId17"/>
    <sheet xmlns:r="http://schemas.openxmlformats.org/officeDocument/2006/relationships" name="Final_HR_Analysi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Employee Count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'Chart_Data'!$A$5:$A$10</f>
            </numRef>
          </cat>
          <val>
            <numRef>
              <f>'Chart_Data'!$B$5:$B$10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Salary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'Chart_Data'!$A$5:$A$10</f>
            </numRef>
          </cat>
          <val>
            <numRef>
              <f>'Chart_Data'!$C$5:$C$10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Monthly Salary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Count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'Chart_Data'!$A$5:$A$10</f>
            </numRef>
          </cat>
          <val>
            <numRef>
              <f>'Chart_Data'!$D$5:$D$10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Day 095 — HR Analytics</t>
        </is>
      </c>
    </row>
    <row r="2"/>
    <row r="3">
      <c r="A3" s="2" t="inlineStr">
        <is>
          <t>Author</t>
        </is>
      </c>
      <c r="B3" t="inlineStr">
        <is>
          <t>Saloni Tiwari</t>
        </is>
      </c>
    </row>
    <row r="4">
      <c r="A4" s="2" t="inlineStr">
        <is>
          <t>Programme</t>
        </is>
      </c>
      <c r="B4" t="inlineStr">
        <is>
          <t>IIT Madras BS Degree — Diploma Level</t>
        </is>
      </c>
    </row>
    <row r="5">
      <c r="A5" s="2" t="inlineStr">
        <is>
          <t>Day</t>
        </is>
      </c>
      <c r="B5" t="inlineStr">
        <is>
          <t>095</t>
        </is>
      </c>
    </row>
    <row r="6">
      <c r="A6" s="2" t="inlineStr">
        <is>
          <t>Topic</t>
        </is>
      </c>
      <c r="B6" t="inlineStr">
        <is>
          <t>HR Analytics</t>
        </is>
      </c>
    </row>
    <row r="7"/>
    <row r="8">
      <c r="A8" s="2" t="inlineStr">
        <is>
          <t>Workflow</t>
        </is>
      </c>
    </row>
    <row r="9">
      <c r="A9" t="inlineStr">
        <is>
          <t>Raw HR Data → Data Quality Check → Cleaning → Employee Analysis → Department/Role/Salary/Attrition Analysis → KPIs → Pivot Analysis → Charts → Business Insights</t>
        </is>
      </c>
    </row>
  </sheetData>
  <mergeCells count="2">
    <mergeCell ref="A9:H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5" customWidth="1" min="3" max="3"/>
    <col width="12" customWidth="1" min="4" max="4"/>
    <col width="12" customWidth="1" min="5" max="5"/>
    <col width="22" customWidth="1" min="6" max="6"/>
    <col width="14" customWidth="1" min="7" max="7"/>
    <col width="12" customWidth="1" min="8" max="8"/>
    <col width="18" customWidth="1" min="9" max="9"/>
    <col width="16" customWidth="1" min="10" max="10"/>
    <col width="17" customWidth="1" min="11" max="11"/>
    <col width="17" customWidth="1" min="12" max="12"/>
    <col width="12" customWidth="1" min="13" max="13"/>
  </cols>
  <sheetData>
    <row r="1">
      <c r="A1" s="1" t="inlineStr">
        <is>
          <t>Raw HR Data — Practice Dataset</t>
        </is>
      </c>
    </row>
    <row r="2">
      <c r="A2" t="inlineStr">
        <is>
          <t>Intentional issues are included for cleaning practice.</t>
        </is>
      </c>
    </row>
    <row r="3"/>
    <row r="4">
      <c r="A4" s="3" t="inlineStr">
        <is>
          <t>Employee_ID</t>
        </is>
      </c>
      <c r="B4" s="3" t="inlineStr">
        <is>
          <t>Joining_Date</t>
        </is>
      </c>
      <c r="C4" s="3" t="inlineStr">
        <is>
          <t>Employee_Name</t>
        </is>
      </c>
      <c r="D4" s="3" t="inlineStr">
        <is>
          <t>Age</t>
        </is>
      </c>
      <c r="E4" s="3" t="inlineStr">
        <is>
          <t>Department</t>
        </is>
      </c>
      <c r="F4" s="3" t="inlineStr">
        <is>
          <t>Job_Role</t>
        </is>
      </c>
      <c r="G4" s="3" t="inlineStr">
        <is>
          <t>Education</t>
        </is>
      </c>
      <c r="H4" s="3" t="inlineStr">
        <is>
          <t>Location</t>
        </is>
      </c>
      <c r="I4" s="3" t="inlineStr">
        <is>
          <t>Experience_Years</t>
        </is>
      </c>
      <c r="J4" s="3" t="inlineStr">
        <is>
          <t>Monthly_Salary</t>
        </is>
      </c>
      <c r="K4" s="3" t="inlineStr">
        <is>
          <t>Employment_Type</t>
        </is>
      </c>
      <c r="L4" s="3" t="inlineStr">
        <is>
          <t>Employee_Status</t>
        </is>
      </c>
      <c r="M4" s="3" t="inlineStr">
        <is>
          <t>Attrition</t>
        </is>
      </c>
    </row>
    <row r="5">
      <c r="A5" t="inlineStr">
        <is>
          <t>E001</t>
        </is>
      </c>
      <c r="B5" s="4" t="n">
        <v>45794</v>
      </c>
      <c r="C5" t="inlineStr">
        <is>
          <t>Employee 1</t>
        </is>
      </c>
      <c r="D5" t="n">
        <v>36</v>
      </c>
      <c r="E5" t="inlineStr">
        <is>
          <t xml:space="preserve"> Sales </t>
        </is>
      </c>
      <c r="F5" t="inlineStr">
        <is>
          <t>Sales Executive</t>
        </is>
      </c>
      <c r="G5" t="inlineStr">
        <is>
          <t>Graduate</t>
        </is>
      </c>
      <c r="H5" t="inlineStr">
        <is>
          <t>Delhi</t>
        </is>
      </c>
      <c r="I5" t="n">
        <v>17</v>
      </c>
      <c r="J5" s="5" t="n">
        <v>87918</v>
      </c>
      <c r="K5" t="inlineStr">
        <is>
          <t>Full-Time</t>
        </is>
      </c>
      <c r="L5" t="inlineStr">
        <is>
          <t>Resigned</t>
        </is>
      </c>
      <c r="M5" t="inlineStr">
        <is>
          <t>Yes</t>
        </is>
      </c>
    </row>
    <row r="6">
      <c r="A6" t="inlineStr">
        <is>
          <t>E002</t>
        </is>
      </c>
      <c r="B6" s="4" t="n">
        <v>45708</v>
      </c>
      <c r="C6" t="inlineStr">
        <is>
          <t>Employee 2</t>
        </is>
      </c>
      <c r="D6" t="n">
        <v>39</v>
      </c>
      <c r="E6" t="inlineStr">
        <is>
          <t>Finance</t>
        </is>
      </c>
      <c r="F6" t="inlineStr">
        <is>
          <t>Financial Analyst</t>
        </is>
      </c>
      <c r="G6" t="inlineStr">
        <is>
          <t>Graduate</t>
        </is>
      </c>
      <c r="H6" t="inlineStr">
        <is>
          <t>Patna</t>
        </is>
      </c>
      <c r="I6" t="n">
        <v>2</v>
      </c>
      <c r="J6" s="5" t="n">
        <v>54532</v>
      </c>
      <c r="K6" t="inlineStr">
        <is>
          <t>Part-Time</t>
        </is>
      </c>
      <c r="L6" t="inlineStr">
        <is>
          <t>Active</t>
        </is>
      </c>
      <c r="M6" t="inlineStr">
        <is>
          <t>No</t>
        </is>
      </c>
    </row>
    <row r="7">
      <c r="A7" t="inlineStr">
        <is>
          <t>E003</t>
        </is>
      </c>
      <c r="B7" s="4" t="n">
        <v>45820</v>
      </c>
      <c r="C7" t="inlineStr">
        <is>
          <t>Employee 3</t>
        </is>
      </c>
      <c r="D7" t="n">
        <v>26</v>
      </c>
      <c r="E7" t="inlineStr">
        <is>
          <t>HR</t>
        </is>
      </c>
      <c r="F7" t="inlineStr">
        <is>
          <t>HR Executive</t>
        </is>
      </c>
      <c r="G7" t="inlineStr">
        <is>
          <t>Graduate</t>
        </is>
      </c>
      <c r="H7" t="inlineStr">
        <is>
          <t>Bengaluru</t>
        </is>
      </c>
      <c r="I7" t="n">
        <v>8</v>
      </c>
      <c r="J7" s="5" t="n">
        <v>64340</v>
      </c>
      <c r="K7" t="inlineStr">
        <is>
          <t>Part-Time</t>
        </is>
      </c>
      <c r="L7" t="inlineStr">
        <is>
          <t>Active</t>
        </is>
      </c>
      <c r="M7" t="inlineStr">
        <is>
          <t>No</t>
        </is>
      </c>
    </row>
    <row r="8">
      <c r="A8" t="inlineStr">
        <is>
          <t>E004</t>
        </is>
      </c>
      <c r="B8" s="4" t="n">
        <v>45922</v>
      </c>
      <c r="C8" t="inlineStr">
        <is>
          <t>Employee 4</t>
        </is>
      </c>
      <c r="D8" t="n">
        <v>37</v>
      </c>
      <c r="E8" t="inlineStr">
        <is>
          <t>IT</t>
        </is>
      </c>
      <c r="F8" t="inlineStr">
        <is>
          <t>Software Analyst</t>
        </is>
      </c>
      <c r="G8" t="inlineStr">
        <is>
          <t>Graduate</t>
        </is>
      </c>
      <c r="H8" t="inlineStr">
        <is>
          <t xml:space="preserve"> delhi </t>
        </is>
      </c>
      <c r="I8" t="n">
        <v>5</v>
      </c>
      <c r="J8" s="5" t="n">
        <v>82342</v>
      </c>
      <c r="K8" t="inlineStr">
        <is>
          <t>Full-Time</t>
        </is>
      </c>
      <c r="L8" t="inlineStr">
        <is>
          <t>Active</t>
        </is>
      </c>
      <c r="M8" t="inlineStr">
        <is>
          <t>No</t>
        </is>
      </c>
    </row>
    <row r="9">
      <c r="A9" t="inlineStr">
        <is>
          <t>E005</t>
        </is>
      </c>
      <c r="B9" s="4" t="n">
        <v>45677</v>
      </c>
      <c r="C9" t="inlineStr">
        <is>
          <t>Employee 5</t>
        </is>
      </c>
      <c r="D9" t="n">
        <v>21</v>
      </c>
      <c r="E9" t="inlineStr">
        <is>
          <t>Marketing</t>
        </is>
      </c>
      <c r="F9" t="inlineStr">
        <is>
          <t>Marketing Executive</t>
        </is>
      </c>
      <c r="G9" t="inlineStr">
        <is>
          <t>Postgraduate</t>
        </is>
      </c>
      <c r="H9" t="inlineStr">
        <is>
          <t>Kolkata</t>
        </is>
      </c>
      <c r="I9" t="n">
        <v>11</v>
      </c>
      <c r="J9" s="5" t="n">
        <v>76196</v>
      </c>
      <c r="K9" t="inlineStr">
        <is>
          <t>Part-Time</t>
        </is>
      </c>
      <c r="L9" t="inlineStr">
        <is>
          <t>Active</t>
        </is>
      </c>
      <c r="M9" t="inlineStr">
        <is>
          <t>No</t>
        </is>
      </c>
    </row>
    <row r="10">
      <c r="A10" t="inlineStr">
        <is>
          <t>E006</t>
        </is>
      </c>
      <c r="B10" s="4" t="n">
        <v>46103</v>
      </c>
      <c r="C10" t="inlineStr">
        <is>
          <t>Employee 6</t>
        </is>
      </c>
      <c r="D10" t="n">
        <v>40</v>
      </c>
      <c r="E10" t="inlineStr">
        <is>
          <t>Operations</t>
        </is>
      </c>
      <c r="F10" t="inlineStr">
        <is>
          <t>Operations Executive</t>
        </is>
      </c>
      <c r="G10" t="inlineStr">
        <is>
          <t>Postgraduate</t>
        </is>
      </c>
      <c r="H10" t="inlineStr">
        <is>
          <t>Patna</t>
        </is>
      </c>
      <c r="I10" t="n">
        <v>9</v>
      </c>
      <c r="J10" s="5" t="n"/>
      <c r="K10" t="inlineStr">
        <is>
          <t>Full-Time</t>
        </is>
      </c>
      <c r="L10" t="inlineStr">
        <is>
          <t>Active</t>
        </is>
      </c>
      <c r="M10" t="inlineStr">
        <is>
          <t>No</t>
        </is>
      </c>
    </row>
    <row r="11">
      <c r="A11" t="inlineStr">
        <is>
          <t>E007</t>
        </is>
      </c>
      <c r="B11" s="4" t="n">
        <v>45677</v>
      </c>
      <c r="C11" t="inlineStr">
        <is>
          <t>Employee 7</t>
        </is>
      </c>
      <c r="D11" t="n">
        <v>27</v>
      </c>
      <c r="E11" t="inlineStr">
        <is>
          <t>Sales</t>
        </is>
      </c>
      <c r="F11" t="inlineStr">
        <is>
          <t>Sales Executive</t>
        </is>
      </c>
      <c r="G11" t="inlineStr">
        <is>
          <t>Postgraduate</t>
        </is>
      </c>
      <c r="H11" t="inlineStr">
        <is>
          <t>Delhi</t>
        </is>
      </c>
      <c r="I11" t="n">
        <v>2</v>
      </c>
      <c r="J11" s="5" t="n">
        <v>51225</v>
      </c>
      <c r="K11" t="inlineStr">
        <is>
          <t>Part-Time</t>
        </is>
      </c>
      <c r="L11" t="inlineStr">
        <is>
          <t>Active</t>
        </is>
      </c>
      <c r="M11" t="inlineStr">
        <is>
          <t>No</t>
        </is>
      </c>
    </row>
    <row r="12">
      <c r="A12" t="inlineStr">
        <is>
          <t>E008</t>
        </is>
      </c>
      <c r="B12" s="4" t="n">
        <v>46066</v>
      </c>
      <c r="C12" t="inlineStr">
        <is>
          <t>Employee 8</t>
        </is>
      </c>
      <c r="D12" t="n">
        <v>43</v>
      </c>
      <c r="E12" t="inlineStr">
        <is>
          <t>Finance</t>
        </is>
      </c>
      <c r="F12" t="inlineStr">
        <is>
          <t>software analyst</t>
        </is>
      </c>
      <c r="G12" t="inlineStr">
        <is>
          <t>Postgraduate</t>
        </is>
      </c>
      <c r="H12" t="inlineStr">
        <is>
          <t>Delhi</t>
        </is>
      </c>
      <c r="I12" t="n">
        <v>18</v>
      </c>
      <c r="J12" s="5" t="n">
        <v>92704</v>
      </c>
      <c r="K12" t="inlineStr">
        <is>
          <t>Full-Time</t>
        </is>
      </c>
      <c r="L12" t="inlineStr">
        <is>
          <t>Resigned</t>
        </is>
      </c>
      <c r="M12" t="inlineStr">
        <is>
          <t>Yes</t>
        </is>
      </c>
    </row>
    <row r="13">
      <c r="A13" t="inlineStr">
        <is>
          <t>E009</t>
        </is>
      </c>
      <c r="B13" s="4" t="n">
        <v>45994</v>
      </c>
      <c r="C13" t="inlineStr">
        <is>
          <t>Employee 9</t>
        </is>
      </c>
      <c r="D13" t="n">
        <v>30</v>
      </c>
      <c r="E13" t="inlineStr">
        <is>
          <t>HR</t>
        </is>
      </c>
      <c r="F13" t="inlineStr">
        <is>
          <t>HR Executive</t>
        </is>
      </c>
      <c r="G13" t="inlineStr">
        <is>
          <t>Postgraduate</t>
        </is>
      </c>
      <c r="H13" t="inlineStr">
        <is>
          <t>Kolkata</t>
        </is>
      </c>
      <c r="I13" t="n">
        <v>14</v>
      </c>
      <c r="J13" s="5" t="n">
        <v>80520</v>
      </c>
      <c r="K13" t="inlineStr">
        <is>
          <t>Full-Time</t>
        </is>
      </c>
      <c r="L13" t="inlineStr">
        <is>
          <t>Active</t>
        </is>
      </c>
      <c r="M13" t="inlineStr">
        <is>
          <t>No</t>
        </is>
      </c>
    </row>
    <row r="14">
      <c r="A14" t="inlineStr">
        <is>
          <t>E010</t>
        </is>
      </c>
      <c r="B14" s="4" t="n">
        <v>45778</v>
      </c>
      <c r="C14" t="inlineStr">
        <is>
          <t>Employee 10</t>
        </is>
      </c>
      <c r="D14" t="n">
        <v>26</v>
      </c>
      <c r="E14" t="inlineStr">
        <is>
          <t>IT</t>
        </is>
      </c>
      <c r="F14" t="inlineStr">
        <is>
          <t>Software Analyst</t>
        </is>
      </c>
      <c r="G14" t="inlineStr">
        <is>
          <t>Graduate</t>
        </is>
      </c>
      <c r="H14" t="inlineStr">
        <is>
          <t>Patna</t>
        </is>
      </c>
      <c r="I14" t="n">
        <v>8</v>
      </c>
      <c r="J14" s="5" t="n">
        <v>82311</v>
      </c>
      <c r="K14" t="inlineStr">
        <is>
          <t>Full-Time</t>
        </is>
      </c>
      <c r="L14" t="inlineStr">
        <is>
          <t>Active</t>
        </is>
      </c>
      <c r="M14" t="inlineStr">
        <is>
          <t>No</t>
        </is>
      </c>
    </row>
    <row r="15">
      <c r="A15" t="inlineStr">
        <is>
          <t>E011</t>
        </is>
      </c>
      <c r="B15" s="4" t="n">
        <v>45684</v>
      </c>
      <c r="C15" t="inlineStr">
        <is>
          <t>Employee 11</t>
        </is>
      </c>
      <c r="D15" t="n">
        <v>32</v>
      </c>
      <c r="E15" t="inlineStr">
        <is>
          <t>Marketing</t>
        </is>
      </c>
      <c r="F15" t="inlineStr">
        <is>
          <t>Marketing Executive</t>
        </is>
      </c>
      <c r="G15" t="inlineStr">
        <is>
          <t>Postgraduate</t>
        </is>
      </c>
      <c r="H15" t="inlineStr">
        <is>
          <t>Delhi</t>
        </is>
      </c>
      <c r="I15" t="n">
        <v>6</v>
      </c>
      <c r="J15" s="5" t="n">
        <v>63306</v>
      </c>
      <c r="K15" t="inlineStr">
        <is>
          <t>Part-Time</t>
        </is>
      </c>
      <c r="L15" t="inlineStr">
        <is>
          <t>Resigned</t>
        </is>
      </c>
      <c r="M15" t="inlineStr">
        <is>
          <t>Yes</t>
        </is>
      </c>
    </row>
    <row r="16">
      <c r="A16" t="inlineStr">
        <is>
          <t>E012</t>
        </is>
      </c>
      <c r="B16" s="4" t="n">
        <v>45686</v>
      </c>
      <c r="C16" t="inlineStr">
        <is>
          <t>Employee 12</t>
        </is>
      </c>
      <c r="D16" t="n">
        <v>40</v>
      </c>
      <c r="E16" t="inlineStr">
        <is>
          <t>Operations</t>
        </is>
      </c>
      <c r="F16" t="inlineStr">
        <is>
          <t>Operations Executive</t>
        </is>
      </c>
      <c r="G16" t="inlineStr">
        <is>
          <t>Postgraduate</t>
        </is>
      </c>
      <c r="H16" t="inlineStr">
        <is>
          <t>Kolkata</t>
        </is>
      </c>
      <c r="I16" t="n">
        <v>7</v>
      </c>
      <c r="J16" s="5" t="n">
        <v>56552</v>
      </c>
      <c r="K16" t="inlineStr">
        <is>
          <t>Full-Time</t>
        </is>
      </c>
      <c r="L16" t="inlineStr">
        <is>
          <t xml:space="preserve"> active </t>
        </is>
      </c>
      <c r="M16" t="inlineStr">
        <is>
          <t>No</t>
        </is>
      </c>
    </row>
    <row r="17">
      <c r="A17" t="inlineStr">
        <is>
          <t>E013</t>
        </is>
      </c>
      <c r="B17" s="4" t="n">
        <v>46041</v>
      </c>
      <c r="C17" t="inlineStr">
        <is>
          <t>Employee 13</t>
        </is>
      </c>
      <c r="D17" t="n">
        <v>34</v>
      </c>
      <c r="E17" t="inlineStr">
        <is>
          <t>Sales</t>
        </is>
      </c>
      <c r="F17" t="inlineStr">
        <is>
          <t>Sales Executive</t>
        </is>
      </c>
      <c r="G17" t="inlineStr">
        <is>
          <t>Postgraduate</t>
        </is>
      </c>
      <c r="H17" t="inlineStr">
        <is>
          <t>Patna</t>
        </is>
      </c>
      <c r="I17" t="n">
        <v>0</v>
      </c>
      <c r="J17" s="5" t="n">
        <v>41807</v>
      </c>
      <c r="K17" t="inlineStr">
        <is>
          <t>Part-Time</t>
        </is>
      </c>
      <c r="L17" t="inlineStr">
        <is>
          <t>Active</t>
        </is>
      </c>
      <c r="M17" t="inlineStr">
        <is>
          <t>No</t>
        </is>
      </c>
    </row>
    <row r="18">
      <c r="A18" t="inlineStr">
        <is>
          <t>E014</t>
        </is>
      </c>
      <c r="B18" s="4" t="n">
        <v>46183</v>
      </c>
      <c r="C18" t="inlineStr">
        <is>
          <t>Employee 14</t>
        </is>
      </c>
      <c r="E18" t="inlineStr">
        <is>
          <t>Finance</t>
        </is>
      </c>
      <c r="F18" t="inlineStr">
        <is>
          <t>Financial Analyst</t>
        </is>
      </c>
      <c r="G18" t="inlineStr">
        <is>
          <t>Graduate</t>
        </is>
      </c>
      <c r="H18" t="inlineStr">
        <is>
          <t>Mumbai</t>
        </is>
      </c>
      <c r="I18" t="n">
        <v>14</v>
      </c>
      <c r="J18" s="5" t="n">
        <v>87486</v>
      </c>
      <c r="K18" t="inlineStr">
        <is>
          <t>Full-Time</t>
        </is>
      </c>
      <c r="L18" t="inlineStr">
        <is>
          <t>Active</t>
        </is>
      </c>
      <c r="M18" t="inlineStr">
        <is>
          <t>No</t>
        </is>
      </c>
    </row>
    <row r="19">
      <c r="A19" t="inlineStr">
        <is>
          <t>E015</t>
        </is>
      </c>
      <c r="B19" s="4" t="n">
        <v>45807</v>
      </c>
      <c r="C19" t="inlineStr">
        <is>
          <t>Employee 15</t>
        </is>
      </c>
      <c r="D19" t="n">
        <v>31</v>
      </c>
      <c r="E19" t="inlineStr">
        <is>
          <t>HR</t>
        </is>
      </c>
      <c r="F19" t="inlineStr">
        <is>
          <t>HR Executive</t>
        </is>
      </c>
      <c r="G19" t="inlineStr">
        <is>
          <t>Graduate</t>
        </is>
      </c>
      <c r="H19" t="inlineStr">
        <is>
          <t>Delhi</t>
        </is>
      </c>
      <c r="I19" t="n">
        <v>10</v>
      </c>
      <c r="J19" s="5" t="n">
        <v>66637</v>
      </c>
      <c r="K19" t="inlineStr">
        <is>
          <t>Full-Time</t>
        </is>
      </c>
      <c r="L19" t="inlineStr">
        <is>
          <t>Active</t>
        </is>
      </c>
      <c r="M19" t="inlineStr">
        <is>
          <t>No</t>
        </is>
      </c>
    </row>
    <row r="20">
      <c r="A20" t="inlineStr">
        <is>
          <t>E016</t>
        </is>
      </c>
      <c r="B20" s="4" t="n">
        <v>45665</v>
      </c>
      <c r="C20" t="inlineStr">
        <is>
          <t>Employee 16</t>
        </is>
      </c>
      <c r="D20" t="n">
        <v>41</v>
      </c>
      <c r="E20" t="inlineStr">
        <is>
          <t>IT</t>
        </is>
      </c>
      <c r="F20" t="inlineStr">
        <is>
          <t>Software Analyst</t>
        </is>
      </c>
      <c r="G20" t="inlineStr">
        <is>
          <t>Postgraduate</t>
        </is>
      </c>
      <c r="H20" t="inlineStr">
        <is>
          <t>Kolkata</t>
        </is>
      </c>
      <c r="I20" t="n">
        <v>8</v>
      </c>
      <c r="J20" s="5" t="n">
        <v>83626</v>
      </c>
      <c r="K20" t="inlineStr">
        <is>
          <t>Part-Time</t>
        </is>
      </c>
      <c r="L20" t="inlineStr">
        <is>
          <t>Active</t>
        </is>
      </c>
      <c r="M20" t="inlineStr">
        <is>
          <t>yes</t>
        </is>
      </c>
    </row>
    <row r="21">
      <c r="A21" t="inlineStr">
        <is>
          <t>E017</t>
        </is>
      </c>
      <c r="B21" s="4" t="n">
        <v>46055</v>
      </c>
      <c r="C21" t="inlineStr">
        <is>
          <t>Employee 17</t>
        </is>
      </c>
      <c r="D21" t="n">
        <v>45</v>
      </c>
      <c r="E21" t="inlineStr">
        <is>
          <t>Marketing</t>
        </is>
      </c>
      <c r="F21" t="inlineStr">
        <is>
          <t>Marketing Executive</t>
        </is>
      </c>
      <c r="G21" t="inlineStr">
        <is>
          <t>Postgraduate</t>
        </is>
      </c>
      <c r="H21" t="inlineStr">
        <is>
          <t>Delhi</t>
        </is>
      </c>
      <c r="I21" t="n">
        <v>6</v>
      </c>
      <c r="J21" s="5" t="n">
        <v>61357</v>
      </c>
      <c r="K21" t="inlineStr">
        <is>
          <t>Full-Time</t>
        </is>
      </c>
      <c r="L21" t="inlineStr">
        <is>
          <t>Active</t>
        </is>
      </c>
      <c r="M21" t="inlineStr">
        <is>
          <t>No</t>
        </is>
      </c>
    </row>
    <row r="22">
      <c r="A22" t="inlineStr">
        <is>
          <t>E018</t>
        </is>
      </c>
      <c r="B22" s="4" t="n">
        <v>45800</v>
      </c>
      <c r="C22" t="inlineStr">
        <is>
          <t>Employee 18</t>
        </is>
      </c>
      <c r="D22" t="n">
        <v>24</v>
      </c>
      <c r="E22" t="inlineStr">
        <is>
          <t>Operations</t>
        </is>
      </c>
      <c r="F22" t="inlineStr">
        <is>
          <t>Operations Executive</t>
        </is>
      </c>
      <c r="G22" t="inlineStr">
        <is>
          <t>Postgraduate</t>
        </is>
      </c>
      <c r="H22" t="inlineStr">
        <is>
          <t>Kolkata</t>
        </is>
      </c>
      <c r="I22" t="n">
        <v>9</v>
      </c>
      <c r="J22" s="5" t="n">
        <v>64970</v>
      </c>
      <c r="K22" t="inlineStr">
        <is>
          <t>Full-Time</t>
        </is>
      </c>
      <c r="L22" t="inlineStr">
        <is>
          <t>On Leave</t>
        </is>
      </c>
      <c r="M22" t="inlineStr">
        <is>
          <t>No</t>
        </is>
      </c>
    </row>
    <row r="23">
      <c r="A23" t="inlineStr">
        <is>
          <t>E019</t>
        </is>
      </c>
      <c r="B23" s="4" t="n">
        <v>46124</v>
      </c>
      <c r="C23" t="inlineStr">
        <is>
          <t>Employee 19</t>
        </is>
      </c>
      <c r="D23" t="n">
        <v>42</v>
      </c>
      <c r="E23" t="inlineStr">
        <is>
          <t>Sales</t>
        </is>
      </c>
      <c r="F23" t="inlineStr">
        <is>
          <t>Sales Executive</t>
        </is>
      </c>
      <c r="G23" t="inlineStr">
        <is>
          <t>Postgraduate</t>
        </is>
      </c>
      <c r="H23" t="inlineStr">
        <is>
          <t>Kolkata</t>
        </is>
      </c>
      <c r="I23" t="n">
        <v>2</v>
      </c>
      <c r="J23" s="5" t="n">
        <v>48218</v>
      </c>
      <c r="K23" t="inlineStr">
        <is>
          <t>Part-Time</t>
        </is>
      </c>
      <c r="L23" t="inlineStr">
        <is>
          <t>Active</t>
        </is>
      </c>
      <c r="M23" t="inlineStr">
        <is>
          <t>No</t>
        </is>
      </c>
    </row>
    <row r="24">
      <c r="A24" t="inlineStr">
        <is>
          <t>E020</t>
        </is>
      </c>
      <c r="B24" s="4" t="n">
        <v>45717</v>
      </c>
      <c r="C24" t="inlineStr">
        <is>
          <t>Employee 20</t>
        </is>
      </c>
      <c r="D24" t="n">
        <v>43</v>
      </c>
      <c r="E24" t="inlineStr">
        <is>
          <t>Finance</t>
        </is>
      </c>
      <c r="F24" t="inlineStr">
        <is>
          <t>Financial Analyst</t>
        </is>
      </c>
      <c r="G24" t="inlineStr">
        <is>
          <t>Postgraduate</t>
        </is>
      </c>
      <c r="H24" t="inlineStr">
        <is>
          <t>Bengaluru</t>
        </is>
      </c>
      <c r="I24" t="n">
        <v>10</v>
      </c>
      <c r="J24" s="5" t="n">
        <v>79678</v>
      </c>
      <c r="K24" t="inlineStr">
        <is>
          <t>Full-Time</t>
        </is>
      </c>
      <c r="L24" t="inlineStr">
        <is>
          <t>On Leave</t>
        </is>
      </c>
      <c r="M24" t="inlineStr">
        <is>
          <t>No</t>
        </is>
      </c>
    </row>
    <row r="25">
      <c r="A25" t="inlineStr">
        <is>
          <t>E021</t>
        </is>
      </c>
      <c r="B25" s="4" t="n">
        <v>45760</v>
      </c>
      <c r="C25" t="inlineStr">
        <is>
          <t>Employee 21</t>
        </is>
      </c>
      <c r="D25" t="n">
        <v>21</v>
      </c>
      <c r="E25" t="inlineStr">
        <is>
          <t>HR</t>
        </is>
      </c>
      <c r="F25" t="inlineStr">
        <is>
          <t>HR Executive</t>
        </is>
      </c>
      <c r="G25" t="inlineStr">
        <is>
          <t>Graduate</t>
        </is>
      </c>
      <c r="H25" t="inlineStr">
        <is>
          <t>Mumbai</t>
        </is>
      </c>
      <c r="J25" s="5" t="n">
        <v>50764</v>
      </c>
      <c r="K25" t="inlineStr">
        <is>
          <t>Full-Time</t>
        </is>
      </c>
      <c r="L25" t="inlineStr">
        <is>
          <t>On Leave</t>
        </is>
      </c>
      <c r="M25" t="inlineStr">
        <is>
          <t>No</t>
        </is>
      </c>
    </row>
    <row r="26">
      <c r="A26" t="inlineStr">
        <is>
          <t>E022</t>
        </is>
      </c>
      <c r="B26" s="4" t="n">
        <v>46138</v>
      </c>
      <c r="C26" t="inlineStr">
        <is>
          <t>Employee 22</t>
        </is>
      </c>
      <c r="D26" t="n">
        <v>43</v>
      </c>
      <c r="E26" t="inlineStr">
        <is>
          <t>IT</t>
        </is>
      </c>
      <c r="F26" t="inlineStr">
        <is>
          <t>Software Analyst</t>
        </is>
      </c>
      <c r="G26" t="inlineStr">
        <is>
          <t>Postgraduate</t>
        </is>
      </c>
      <c r="H26" t="inlineStr">
        <is>
          <t>Bengaluru</t>
        </is>
      </c>
      <c r="I26" t="n">
        <v>7</v>
      </c>
      <c r="J26" s="5" t="n">
        <v>77636</v>
      </c>
      <c r="K26" t="inlineStr">
        <is>
          <t>Part-Time</t>
        </is>
      </c>
      <c r="L26" t="inlineStr">
        <is>
          <t>Active</t>
        </is>
      </c>
      <c r="M26" t="inlineStr">
        <is>
          <t>No</t>
        </is>
      </c>
    </row>
    <row r="27">
      <c r="A27" t="inlineStr">
        <is>
          <t>E023</t>
        </is>
      </c>
      <c r="B27" s="4" t="n">
        <v>46110</v>
      </c>
      <c r="C27" t="inlineStr">
        <is>
          <t>Employee 23</t>
        </is>
      </c>
      <c r="D27" t="n">
        <v>27</v>
      </c>
      <c r="E27" t="inlineStr">
        <is>
          <t>Marketing</t>
        </is>
      </c>
      <c r="F27" t="inlineStr">
        <is>
          <t>Marketing Executive</t>
        </is>
      </c>
      <c r="G27" t="inlineStr">
        <is>
          <t>Graduate</t>
        </is>
      </c>
      <c r="H27" t="inlineStr">
        <is>
          <t>Kolkata</t>
        </is>
      </c>
      <c r="I27" t="n">
        <v>9</v>
      </c>
      <c r="J27" s="5" t="n">
        <v>65660</v>
      </c>
      <c r="K27" t="inlineStr">
        <is>
          <t>Part-Time</t>
        </is>
      </c>
      <c r="L27" t="inlineStr">
        <is>
          <t>Active</t>
        </is>
      </c>
      <c r="M27" t="inlineStr">
        <is>
          <t>No</t>
        </is>
      </c>
    </row>
    <row r="28">
      <c r="A28" t="inlineStr">
        <is>
          <t>E024</t>
        </is>
      </c>
      <c r="B28" s="4" t="n">
        <v>45867</v>
      </c>
      <c r="C28" t="inlineStr">
        <is>
          <t>Employee 24</t>
        </is>
      </c>
      <c r="D28" t="n">
        <v>26</v>
      </c>
      <c r="E28" t="inlineStr">
        <is>
          <t>Operations</t>
        </is>
      </c>
      <c r="F28" t="inlineStr">
        <is>
          <t>Operations Executive</t>
        </is>
      </c>
      <c r="G28" t="inlineStr">
        <is>
          <t>Graduate</t>
        </is>
      </c>
      <c r="H28" t="inlineStr">
        <is>
          <t>Patna</t>
        </is>
      </c>
      <c r="I28" t="n">
        <v>2</v>
      </c>
      <c r="J28" s="5" t="n">
        <v>47002</v>
      </c>
      <c r="K28" t="inlineStr">
        <is>
          <t>Full-Time</t>
        </is>
      </c>
      <c r="L28" t="inlineStr">
        <is>
          <t>Active</t>
        </is>
      </c>
      <c r="M28" t="inlineStr">
        <is>
          <t>No</t>
        </is>
      </c>
    </row>
    <row r="29">
      <c r="A29" t="inlineStr">
        <is>
          <t>E025</t>
        </is>
      </c>
      <c r="B29" s="4" t="n">
        <v>46165</v>
      </c>
      <c r="C29" t="inlineStr">
        <is>
          <t>Employee 25</t>
        </is>
      </c>
      <c r="D29" t="n">
        <v>42</v>
      </c>
      <c r="E29" t="inlineStr">
        <is>
          <t>Sales</t>
        </is>
      </c>
      <c r="F29" t="inlineStr">
        <is>
          <t>Sales Executive</t>
        </is>
      </c>
      <c r="G29" t="inlineStr">
        <is>
          <t>Graduate</t>
        </is>
      </c>
      <c r="H29" t="inlineStr">
        <is>
          <t>Bengaluru</t>
        </is>
      </c>
      <c r="I29" t="n">
        <v>9</v>
      </c>
      <c r="J29" s="5" t="n">
        <v>62888</v>
      </c>
      <c r="K29" t="inlineStr">
        <is>
          <t>Full-Time</t>
        </is>
      </c>
      <c r="L29" t="inlineStr">
        <is>
          <t>Active</t>
        </is>
      </c>
      <c r="M29" t="inlineStr">
        <is>
          <t>No</t>
        </is>
      </c>
    </row>
    <row r="30">
      <c r="A30" t="inlineStr">
        <is>
          <t>E026</t>
        </is>
      </c>
      <c r="B30" s="4" t="n">
        <v>45735</v>
      </c>
      <c r="C30" t="inlineStr">
        <is>
          <t>Employee 26</t>
        </is>
      </c>
      <c r="D30" t="n">
        <v>44</v>
      </c>
      <c r="E30" t="inlineStr">
        <is>
          <t>Finance</t>
        </is>
      </c>
      <c r="F30" t="inlineStr">
        <is>
          <t>Financial Analyst</t>
        </is>
      </c>
      <c r="G30" t="inlineStr">
        <is>
          <t>Postgraduate</t>
        </is>
      </c>
      <c r="H30" t="inlineStr">
        <is>
          <t>Bengaluru</t>
        </is>
      </c>
      <c r="I30" t="n">
        <v>6</v>
      </c>
      <c r="J30" s="5" t="n">
        <v>64238</v>
      </c>
      <c r="K30" t="inlineStr">
        <is>
          <t>Part-Time</t>
        </is>
      </c>
      <c r="L30" t="inlineStr">
        <is>
          <t>Resigned</t>
        </is>
      </c>
      <c r="M30" t="inlineStr">
        <is>
          <t>Yes</t>
        </is>
      </c>
    </row>
    <row r="31">
      <c r="A31" t="inlineStr">
        <is>
          <t>E027</t>
        </is>
      </c>
      <c r="B31" s="4" t="n">
        <v>45950</v>
      </c>
      <c r="C31" t="inlineStr">
        <is>
          <t>Employee 27</t>
        </is>
      </c>
      <c r="D31" t="n">
        <v>23</v>
      </c>
      <c r="F31" t="inlineStr">
        <is>
          <t>HR Executive</t>
        </is>
      </c>
      <c r="G31" t="inlineStr">
        <is>
          <t>Postgraduate</t>
        </is>
      </c>
      <c r="H31" t="inlineStr">
        <is>
          <t>Kolkata</t>
        </is>
      </c>
      <c r="I31" t="n">
        <v>18</v>
      </c>
      <c r="J31" s="5" t="n">
        <v>92423</v>
      </c>
      <c r="K31" t="inlineStr">
        <is>
          <t>Full-Time</t>
        </is>
      </c>
      <c r="L31" t="inlineStr">
        <is>
          <t>Active</t>
        </is>
      </c>
      <c r="M31" t="inlineStr">
        <is>
          <t>No</t>
        </is>
      </c>
    </row>
    <row r="32">
      <c r="A32" t="inlineStr">
        <is>
          <t>E028</t>
        </is>
      </c>
      <c r="B32" s="4" t="n">
        <v>45890</v>
      </c>
      <c r="C32" t="inlineStr">
        <is>
          <t>Employee 28</t>
        </is>
      </c>
      <c r="D32" t="n">
        <v>21</v>
      </c>
      <c r="E32" t="inlineStr">
        <is>
          <t>IT</t>
        </is>
      </c>
      <c r="F32" t="inlineStr">
        <is>
          <t>Software Analyst</t>
        </is>
      </c>
      <c r="G32" t="inlineStr">
        <is>
          <t>Postgraduate</t>
        </is>
      </c>
      <c r="H32" t="inlineStr">
        <is>
          <t>Delhi</t>
        </is>
      </c>
      <c r="I32" t="n">
        <v>7</v>
      </c>
      <c r="J32" s="5" t="n">
        <v>79969</v>
      </c>
      <c r="K32" t="inlineStr">
        <is>
          <t>Full-Time</t>
        </is>
      </c>
      <c r="L32" t="inlineStr">
        <is>
          <t>Active</t>
        </is>
      </c>
      <c r="M32" t="inlineStr">
        <is>
          <t>No</t>
        </is>
      </c>
    </row>
    <row r="33">
      <c r="A33" t="inlineStr">
        <is>
          <t>E029</t>
        </is>
      </c>
      <c r="B33" s="4" t="n">
        <v>45778</v>
      </c>
      <c r="C33" t="inlineStr">
        <is>
          <t>Employee 29</t>
        </is>
      </c>
      <c r="D33" t="n">
        <v>23</v>
      </c>
      <c r="E33" t="inlineStr">
        <is>
          <t>Marketing</t>
        </is>
      </c>
      <c r="F33" t="inlineStr">
        <is>
          <t>Marketing Executive</t>
        </is>
      </c>
      <c r="G33" t="inlineStr">
        <is>
          <t>Postgraduate</t>
        </is>
      </c>
      <c r="H33" t="inlineStr">
        <is>
          <t>Kolkata</t>
        </is>
      </c>
      <c r="I33" t="n">
        <v>16</v>
      </c>
      <c r="J33" s="5" t="n">
        <v>88475</v>
      </c>
      <c r="K33" t="inlineStr">
        <is>
          <t>Full-Time</t>
        </is>
      </c>
      <c r="L33" t="inlineStr">
        <is>
          <t>Resigned</t>
        </is>
      </c>
      <c r="M33" t="inlineStr">
        <is>
          <t>Yes</t>
        </is>
      </c>
    </row>
    <row r="34">
      <c r="A34" t="inlineStr">
        <is>
          <t>E030</t>
        </is>
      </c>
      <c r="B34" s="4" t="n">
        <v>45715</v>
      </c>
      <c r="C34" t="inlineStr">
        <is>
          <t>Employee 30</t>
        </is>
      </c>
      <c r="D34" t="n">
        <v>26</v>
      </c>
      <c r="E34" t="inlineStr">
        <is>
          <t>Operations</t>
        </is>
      </c>
      <c r="F34" t="inlineStr">
        <is>
          <t>Operations Executive</t>
        </is>
      </c>
      <c r="G34" t="inlineStr">
        <is>
          <t>Graduate</t>
        </is>
      </c>
      <c r="H34" t="inlineStr">
        <is>
          <t>Mumbai</t>
        </is>
      </c>
      <c r="I34" t="n">
        <v>-2</v>
      </c>
      <c r="J34" s="5" t="n">
        <v>52721</v>
      </c>
      <c r="K34" t="inlineStr">
        <is>
          <t>Part-Time</t>
        </is>
      </c>
      <c r="L34" t="inlineStr">
        <is>
          <t>Resigned</t>
        </is>
      </c>
      <c r="M34" t="inlineStr">
        <is>
          <t>Yes</t>
        </is>
      </c>
    </row>
    <row r="35">
      <c r="A35" t="inlineStr">
        <is>
          <t>E031</t>
        </is>
      </c>
      <c r="B35" s="4" t="n">
        <v>45674</v>
      </c>
      <c r="C35" t="inlineStr">
        <is>
          <t>Employee 31</t>
        </is>
      </c>
      <c r="D35" t="n">
        <v>45</v>
      </c>
      <c r="E35" t="inlineStr">
        <is>
          <t>Sales</t>
        </is>
      </c>
      <c r="F35" t="inlineStr">
        <is>
          <t>Sales Executive</t>
        </is>
      </c>
      <c r="G35" t="inlineStr">
        <is>
          <t>Postgraduate</t>
        </is>
      </c>
      <c r="H35" t="inlineStr">
        <is>
          <t>Kolkata</t>
        </is>
      </c>
      <c r="I35" t="n">
        <v>17</v>
      </c>
      <c r="J35" s="5" t="n">
        <v>82400</v>
      </c>
      <c r="K35" t="inlineStr">
        <is>
          <t>Part-Time</t>
        </is>
      </c>
      <c r="L35" t="inlineStr">
        <is>
          <t>Active</t>
        </is>
      </c>
      <c r="M35" t="inlineStr">
        <is>
          <t>No</t>
        </is>
      </c>
    </row>
    <row r="36">
      <c r="A36" t="inlineStr">
        <is>
          <t>E032</t>
        </is>
      </c>
      <c r="B36" s="4" t="n">
        <v>46020</v>
      </c>
      <c r="C36" t="inlineStr">
        <is>
          <t>Employee 32</t>
        </is>
      </c>
      <c r="D36" t="n">
        <v>23</v>
      </c>
      <c r="E36" t="inlineStr">
        <is>
          <t>Finance</t>
        </is>
      </c>
      <c r="F36" t="inlineStr">
        <is>
          <t>Financial Analyst</t>
        </is>
      </c>
      <c r="G36" t="inlineStr">
        <is>
          <t>Postgraduate</t>
        </is>
      </c>
      <c r="H36" t="inlineStr">
        <is>
          <t>Delhi</t>
        </is>
      </c>
      <c r="I36" t="n">
        <v>11</v>
      </c>
      <c r="J36" s="5" t="n">
        <v>73307</v>
      </c>
      <c r="K36" t="inlineStr">
        <is>
          <t>Full-Time</t>
        </is>
      </c>
      <c r="L36" t="inlineStr">
        <is>
          <t>Active</t>
        </is>
      </c>
      <c r="M36" t="inlineStr">
        <is>
          <t>No</t>
        </is>
      </c>
    </row>
    <row r="37">
      <c r="A37" t="inlineStr">
        <is>
          <t>E033</t>
        </is>
      </c>
      <c r="B37" s="4" t="n">
        <v>45874</v>
      </c>
      <c r="C37" t="inlineStr">
        <is>
          <t>Employee 33</t>
        </is>
      </c>
      <c r="D37" t="n">
        <v>39</v>
      </c>
      <c r="E37" t="inlineStr">
        <is>
          <t>HR</t>
        </is>
      </c>
      <c r="F37" t="inlineStr">
        <is>
          <t>HR Executive</t>
        </is>
      </c>
      <c r="G37" t="inlineStr">
        <is>
          <t>Postgraduate</t>
        </is>
      </c>
      <c r="H37" t="inlineStr">
        <is>
          <t>Delhi</t>
        </is>
      </c>
      <c r="I37" t="n">
        <v>17</v>
      </c>
      <c r="J37" s="5" t="n">
        <v>86377</v>
      </c>
      <c r="K37" t="inlineStr">
        <is>
          <t>Full-Time</t>
        </is>
      </c>
      <c r="L37" t="inlineStr">
        <is>
          <t>Active</t>
        </is>
      </c>
      <c r="M37" t="inlineStr">
        <is>
          <t>No</t>
        </is>
      </c>
    </row>
    <row r="38">
      <c r="A38" t="inlineStr">
        <is>
          <t>E034</t>
        </is>
      </c>
      <c r="B38" s="4" t="n">
        <v>45861</v>
      </c>
      <c r="C38" t="inlineStr">
        <is>
          <t>Employee 34</t>
        </is>
      </c>
      <c r="D38" t="n">
        <v>23</v>
      </c>
      <c r="E38" t="inlineStr">
        <is>
          <t>IT</t>
        </is>
      </c>
      <c r="F38" t="inlineStr">
        <is>
          <t>Software Analyst</t>
        </is>
      </c>
      <c r="G38" t="inlineStr">
        <is>
          <t>Graduate</t>
        </is>
      </c>
      <c r="H38" t="inlineStr">
        <is>
          <t>Mumbai</t>
        </is>
      </c>
      <c r="I38" t="n">
        <v>14</v>
      </c>
      <c r="J38" s="5" t="n">
        <v>95899</v>
      </c>
      <c r="K38" t="inlineStr">
        <is>
          <t>Part-Time</t>
        </is>
      </c>
      <c r="L38" t="inlineStr">
        <is>
          <t>Active</t>
        </is>
      </c>
      <c r="M38" t="inlineStr">
        <is>
          <t>No</t>
        </is>
      </c>
    </row>
    <row r="39">
      <c r="A39" t="inlineStr">
        <is>
          <t>E035</t>
        </is>
      </c>
      <c r="B39" s="4" t="n">
        <v>45842</v>
      </c>
      <c r="C39" t="inlineStr">
        <is>
          <t>Employee 35</t>
        </is>
      </c>
      <c r="D39" t="n">
        <v>22</v>
      </c>
      <c r="E39" t="inlineStr">
        <is>
          <t>Marketing</t>
        </is>
      </c>
      <c r="F39" t="inlineStr">
        <is>
          <t>Marketing Executive</t>
        </is>
      </c>
      <c r="G39" t="inlineStr">
        <is>
          <t>Postgraduate</t>
        </is>
      </c>
      <c r="H39" t="inlineStr">
        <is>
          <t>Delhi</t>
        </is>
      </c>
      <c r="I39" t="n">
        <v>14</v>
      </c>
      <c r="J39" s="5" t="n">
        <v>84486</v>
      </c>
      <c r="K39" t="inlineStr">
        <is>
          <t>Full-Time</t>
        </is>
      </c>
      <c r="L39" t="inlineStr">
        <is>
          <t>Active</t>
        </is>
      </c>
      <c r="M39" t="inlineStr">
        <is>
          <t>No</t>
        </is>
      </c>
    </row>
    <row r="40">
      <c r="A40" t="inlineStr">
        <is>
          <t>E036</t>
        </is>
      </c>
      <c r="B40" s="4" t="n">
        <v>45972</v>
      </c>
      <c r="C40" t="inlineStr">
        <is>
          <t>Employee 36</t>
        </is>
      </c>
      <c r="D40" t="n">
        <v>23</v>
      </c>
      <c r="E40" t="inlineStr">
        <is>
          <t>Operations</t>
        </is>
      </c>
      <c r="F40" t="inlineStr">
        <is>
          <t>Operations Executive</t>
        </is>
      </c>
      <c r="G40" t="inlineStr">
        <is>
          <t>Postgraduate</t>
        </is>
      </c>
      <c r="H40" t="inlineStr">
        <is>
          <t>Bengaluru</t>
        </is>
      </c>
      <c r="I40" t="n">
        <v>4</v>
      </c>
      <c r="J40" s="5" t="n">
        <v>46866</v>
      </c>
      <c r="K40" t="inlineStr">
        <is>
          <t>Full-Time</t>
        </is>
      </c>
      <c r="L40" t="inlineStr">
        <is>
          <t>On Leave</t>
        </is>
      </c>
      <c r="M40" t="inlineStr">
        <is>
          <t>No</t>
        </is>
      </c>
    </row>
    <row r="41">
      <c r="A41" t="inlineStr">
        <is>
          <t>E037</t>
        </is>
      </c>
      <c r="B41" s="4" t="n">
        <v>46063</v>
      </c>
      <c r="C41" t="inlineStr">
        <is>
          <t>Employee 37</t>
        </is>
      </c>
      <c r="D41" t="n">
        <v>41</v>
      </c>
      <c r="E41" t="inlineStr">
        <is>
          <t>Sales</t>
        </is>
      </c>
      <c r="F41" t="inlineStr">
        <is>
          <t>Sales Executive</t>
        </is>
      </c>
      <c r="G41" t="inlineStr">
        <is>
          <t>Postgraduate</t>
        </is>
      </c>
      <c r="H41" t="inlineStr">
        <is>
          <t>Bengaluru</t>
        </is>
      </c>
      <c r="I41" t="n">
        <v>9</v>
      </c>
      <c r="J41" s="5" t="n">
        <v>61642</v>
      </c>
      <c r="K41" t="inlineStr">
        <is>
          <t>Full-Time</t>
        </is>
      </c>
      <c r="L41" t="inlineStr">
        <is>
          <t>On Leave</t>
        </is>
      </c>
      <c r="M41" t="inlineStr">
        <is>
          <t>No</t>
        </is>
      </c>
    </row>
    <row r="42">
      <c r="A42" t="inlineStr">
        <is>
          <t>E038</t>
        </is>
      </c>
      <c r="B42" s="4" t="n">
        <v>45794</v>
      </c>
      <c r="C42" t="inlineStr">
        <is>
          <t>Employee 38</t>
        </is>
      </c>
      <c r="D42" t="n">
        <v>33</v>
      </c>
      <c r="E42" t="inlineStr">
        <is>
          <t>Finance</t>
        </is>
      </c>
      <c r="F42" t="inlineStr">
        <is>
          <t>Financial Analyst</t>
        </is>
      </c>
      <c r="G42" t="inlineStr">
        <is>
          <t>Postgraduate</t>
        </is>
      </c>
      <c r="H42" t="inlineStr">
        <is>
          <t>Mumbai</t>
        </is>
      </c>
      <c r="I42" t="n">
        <v>7</v>
      </c>
      <c r="J42" s="5" t="inlineStr">
        <is>
          <t>N/A</t>
        </is>
      </c>
      <c r="K42" t="inlineStr">
        <is>
          <t>Full-Time</t>
        </is>
      </c>
      <c r="L42" t="inlineStr">
        <is>
          <t>On Leave</t>
        </is>
      </c>
      <c r="M42" t="inlineStr">
        <is>
          <t>No</t>
        </is>
      </c>
    </row>
    <row r="43">
      <c r="A43" t="inlineStr">
        <is>
          <t>E039</t>
        </is>
      </c>
      <c r="B43" s="4" t="n">
        <v>45954</v>
      </c>
      <c r="C43" t="inlineStr">
        <is>
          <t>Employee 39</t>
        </is>
      </c>
      <c r="D43" t="n">
        <v>31</v>
      </c>
      <c r="E43" t="inlineStr">
        <is>
          <t>HR</t>
        </is>
      </c>
      <c r="F43" t="inlineStr">
        <is>
          <t>HR Executive</t>
        </is>
      </c>
      <c r="G43" t="inlineStr">
        <is>
          <t>Graduate</t>
        </is>
      </c>
      <c r="H43" t="inlineStr">
        <is>
          <t>Kolkata</t>
        </is>
      </c>
      <c r="I43" t="n">
        <v>17</v>
      </c>
      <c r="J43" s="5" t="n">
        <v>82187</v>
      </c>
      <c r="K43" t="inlineStr">
        <is>
          <t>Full-Time</t>
        </is>
      </c>
      <c r="L43" t="inlineStr">
        <is>
          <t>Resigned</t>
        </is>
      </c>
      <c r="M43" t="inlineStr">
        <is>
          <t>Yes</t>
        </is>
      </c>
    </row>
    <row r="44">
      <c r="A44" t="inlineStr">
        <is>
          <t>E040</t>
        </is>
      </c>
      <c r="B44" s="4" t="n">
        <v>46047</v>
      </c>
      <c r="C44" t="inlineStr">
        <is>
          <t>Employee 40</t>
        </is>
      </c>
      <c r="D44" t="n">
        <v>40</v>
      </c>
      <c r="E44" t="inlineStr">
        <is>
          <t>IT</t>
        </is>
      </c>
      <c r="F44" t="inlineStr">
        <is>
          <t>Software Analyst</t>
        </is>
      </c>
      <c r="G44" t="inlineStr">
        <is>
          <t>Postgraduate</t>
        </is>
      </c>
      <c r="H44" t="inlineStr">
        <is>
          <t>Patna</t>
        </is>
      </c>
      <c r="I44" t="n">
        <v>0</v>
      </c>
      <c r="J44" s="5" t="n">
        <v>63592</v>
      </c>
      <c r="K44" t="inlineStr">
        <is>
          <t>Full-Time</t>
        </is>
      </c>
      <c r="L44" t="inlineStr">
        <is>
          <t>Active</t>
        </is>
      </c>
      <c r="M44" t="inlineStr">
        <is>
          <t>No</t>
        </is>
      </c>
    </row>
    <row r="45">
      <c r="A45" t="inlineStr">
        <is>
          <t>E041</t>
        </is>
      </c>
      <c r="B45" s="4" t="n">
        <v>45777</v>
      </c>
      <c r="C45" t="inlineStr">
        <is>
          <t>Employee 41</t>
        </is>
      </c>
      <c r="D45" t="n">
        <v>27</v>
      </c>
      <c r="E45" t="inlineStr">
        <is>
          <t>Marketing</t>
        </is>
      </c>
      <c r="F45" t="inlineStr">
        <is>
          <t>Marketing Executive</t>
        </is>
      </c>
      <c r="G45" t="inlineStr">
        <is>
          <t>Graduate</t>
        </is>
      </c>
      <c r="H45" t="inlineStr">
        <is>
          <t>Kolkata</t>
        </is>
      </c>
      <c r="I45" t="n">
        <v>1</v>
      </c>
      <c r="J45" s="5" t="n">
        <v>47117</v>
      </c>
      <c r="K45" t="inlineStr">
        <is>
          <t>Part-Time</t>
        </is>
      </c>
      <c r="L45" t="inlineStr">
        <is>
          <t>Active</t>
        </is>
      </c>
      <c r="M45" t="inlineStr">
        <is>
          <t>No</t>
        </is>
      </c>
    </row>
    <row r="46">
      <c r="A46" t="inlineStr">
        <is>
          <t>E042</t>
        </is>
      </c>
      <c r="B46" s="4" t="n">
        <v>45799</v>
      </c>
      <c r="C46" t="inlineStr">
        <is>
          <t>Employee 42</t>
        </is>
      </c>
      <c r="D46" t="n">
        <v>29</v>
      </c>
      <c r="E46" t="inlineStr">
        <is>
          <t>Operations</t>
        </is>
      </c>
      <c r="F46" t="inlineStr">
        <is>
          <t>Operations Executive</t>
        </is>
      </c>
      <c r="G46" t="inlineStr">
        <is>
          <t>Postgraduate</t>
        </is>
      </c>
      <c r="H46" t="inlineStr">
        <is>
          <t>Bengaluru</t>
        </is>
      </c>
      <c r="I46" t="n">
        <v>9</v>
      </c>
      <c r="J46" s="5" t="n">
        <v>66032</v>
      </c>
      <c r="K46" t="inlineStr">
        <is>
          <t>Full-Time</t>
        </is>
      </c>
      <c r="L46" t="inlineStr">
        <is>
          <t>Active</t>
        </is>
      </c>
      <c r="M46" t="inlineStr">
        <is>
          <t>No</t>
        </is>
      </c>
    </row>
    <row r="47">
      <c r="A47" t="inlineStr">
        <is>
          <t>E043</t>
        </is>
      </c>
      <c r="B47" s="4" t="n">
        <v>45985</v>
      </c>
      <c r="C47" t="inlineStr">
        <is>
          <t>Employee 43</t>
        </is>
      </c>
      <c r="D47" t="n">
        <v>30</v>
      </c>
      <c r="E47" t="inlineStr">
        <is>
          <t>Sales</t>
        </is>
      </c>
      <c r="F47" t="inlineStr">
        <is>
          <t>Sales Executive</t>
        </is>
      </c>
      <c r="G47" t="inlineStr">
        <is>
          <t>Postgraduate</t>
        </is>
      </c>
      <c r="H47" t="inlineStr">
        <is>
          <t>Mumbai</t>
        </is>
      </c>
      <c r="I47" t="n">
        <v>0</v>
      </c>
      <c r="J47" s="5" t="n">
        <v>41191</v>
      </c>
      <c r="K47" t="inlineStr">
        <is>
          <t>Full-Time</t>
        </is>
      </c>
      <c r="L47" t="inlineStr">
        <is>
          <t>Active</t>
        </is>
      </c>
      <c r="M47" t="inlineStr">
        <is>
          <t>No</t>
        </is>
      </c>
    </row>
    <row r="48">
      <c r="A48" t="inlineStr">
        <is>
          <t>E044</t>
        </is>
      </c>
      <c r="B48" s="4" t="n">
        <v>45671</v>
      </c>
      <c r="C48" t="inlineStr">
        <is>
          <t>Employee 44</t>
        </is>
      </c>
      <c r="D48" t="n">
        <v>22</v>
      </c>
      <c r="E48" t="inlineStr">
        <is>
          <t>Finance</t>
        </is>
      </c>
      <c r="F48" t="inlineStr">
        <is>
          <t>Financial Analyst</t>
        </is>
      </c>
      <c r="G48" t="inlineStr">
        <is>
          <t>Postgraduate</t>
        </is>
      </c>
      <c r="H48" t="inlineStr">
        <is>
          <t>Mumbai</t>
        </is>
      </c>
      <c r="I48" t="n">
        <v>8</v>
      </c>
      <c r="J48" s="5" t="n">
        <v>65046</v>
      </c>
      <c r="K48" t="inlineStr">
        <is>
          <t>Full-Time</t>
        </is>
      </c>
      <c r="L48" t="inlineStr">
        <is>
          <t>Active</t>
        </is>
      </c>
      <c r="M48" t="inlineStr">
        <is>
          <t>No</t>
        </is>
      </c>
    </row>
    <row r="49">
      <c r="A49" t="inlineStr">
        <is>
          <t>E045</t>
        </is>
      </c>
      <c r="B49" s="4" t="n">
        <v>45995</v>
      </c>
      <c r="C49" t="inlineStr">
        <is>
          <t>Employee 45</t>
        </is>
      </c>
      <c r="D49" t="n">
        <v>21</v>
      </c>
      <c r="E49" t="inlineStr">
        <is>
          <t>HR</t>
        </is>
      </c>
      <c r="F49" t="inlineStr">
        <is>
          <t>HR Executive</t>
        </is>
      </c>
      <c r="G49" t="inlineStr">
        <is>
          <t>Graduate</t>
        </is>
      </c>
      <c r="H49" t="inlineStr">
        <is>
          <t>Bengaluru</t>
        </is>
      </c>
      <c r="I49" t="n">
        <v>0</v>
      </c>
      <c r="J49" s="5" t="n">
        <v>46372</v>
      </c>
      <c r="K49" t="inlineStr">
        <is>
          <t>Part-Time</t>
        </is>
      </c>
      <c r="L49" t="inlineStr">
        <is>
          <t>Resigned</t>
        </is>
      </c>
      <c r="M49" t="inlineStr">
        <is>
          <t>Yes</t>
        </is>
      </c>
    </row>
    <row r="50">
      <c r="A50" t="inlineStr">
        <is>
          <t>E046</t>
        </is>
      </c>
      <c r="B50" s="4" t="n">
        <v>46075</v>
      </c>
      <c r="C50" t="inlineStr">
        <is>
          <t>Employee 46</t>
        </is>
      </c>
      <c r="D50" t="n">
        <v>30</v>
      </c>
      <c r="E50" t="inlineStr">
        <is>
          <t>IT</t>
        </is>
      </c>
      <c r="F50" t="inlineStr">
        <is>
          <t>Software Analyst</t>
        </is>
      </c>
      <c r="G50" t="inlineStr">
        <is>
          <t>Graduate</t>
        </is>
      </c>
      <c r="H50" t="inlineStr">
        <is>
          <t>Bengaluru</t>
        </is>
      </c>
      <c r="I50" t="n">
        <v>11</v>
      </c>
      <c r="J50" s="5" t="n">
        <v>89270</v>
      </c>
      <c r="K50" t="inlineStr">
        <is>
          <t>Part-Time</t>
        </is>
      </c>
      <c r="L50" t="inlineStr">
        <is>
          <t>Active</t>
        </is>
      </c>
      <c r="M50" t="inlineStr">
        <is>
          <t>No</t>
        </is>
      </c>
    </row>
    <row r="51">
      <c r="A51" t="inlineStr">
        <is>
          <t>E047</t>
        </is>
      </c>
      <c r="B51" s="4" t="n">
        <v>45695</v>
      </c>
      <c r="C51" t="inlineStr">
        <is>
          <t>Employee 47</t>
        </is>
      </c>
      <c r="D51" t="n">
        <v>44</v>
      </c>
      <c r="E51" t="inlineStr">
        <is>
          <t>Marketing</t>
        </is>
      </c>
      <c r="F51" t="inlineStr">
        <is>
          <t>Marketing Executive</t>
        </is>
      </c>
      <c r="G51" t="inlineStr">
        <is>
          <t>Postgraduate</t>
        </is>
      </c>
      <c r="H51" t="inlineStr">
        <is>
          <t>Patna</t>
        </is>
      </c>
      <c r="I51" t="n">
        <v>14</v>
      </c>
      <c r="J51" s="5" t="n">
        <v>82705</v>
      </c>
      <c r="K51" t="inlineStr">
        <is>
          <t>Part-Time</t>
        </is>
      </c>
      <c r="L51" t="inlineStr">
        <is>
          <t>On Leave</t>
        </is>
      </c>
      <c r="M51" t="inlineStr">
        <is>
          <t>No</t>
        </is>
      </c>
    </row>
    <row r="52">
      <c r="A52" t="inlineStr">
        <is>
          <t>E048</t>
        </is>
      </c>
      <c r="B52" s="4" t="n">
        <v>45935</v>
      </c>
      <c r="C52" t="inlineStr">
        <is>
          <t>Employee 48</t>
        </is>
      </c>
      <c r="D52" t="n">
        <v>28</v>
      </c>
      <c r="E52" t="inlineStr">
        <is>
          <t>Operations</t>
        </is>
      </c>
      <c r="F52" t="inlineStr">
        <is>
          <t>Operations Executive</t>
        </is>
      </c>
      <c r="G52" t="inlineStr">
        <is>
          <t>Postgraduate</t>
        </is>
      </c>
      <c r="H52" t="inlineStr">
        <is>
          <t>Kolkata</t>
        </is>
      </c>
      <c r="I52" t="n">
        <v>6</v>
      </c>
      <c r="J52" s="5" t="n">
        <v>58438</v>
      </c>
      <c r="K52" t="inlineStr">
        <is>
          <t>Full-Time</t>
        </is>
      </c>
      <c r="L52" t="inlineStr">
        <is>
          <t>Active</t>
        </is>
      </c>
      <c r="M52" t="inlineStr">
        <is>
          <t>No</t>
        </is>
      </c>
    </row>
    <row r="53">
      <c r="A53" t="inlineStr">
        <is>
          <t>E049</t>
        </is>
      </c>
      <c r="B53" s="4" t="n">
        <v>45905</v>
      </c>
      <c r="C53" t="inlineStr">
        <is>
          <t>Employee 49</t>
        </is>
      </c>
      <c r="D53" t="n">
        <v>27</v>
      </c>
      <c r="E53" t="inlineStr">
        <is>
          <t>Sales</t>
        </is>
      </c>
      <c r="F53" t="inlineStr">
        <is>
          <t>Sales Executive</t>
        </is>
      </c>
      <c r="G53" t="inlineStr">
        <is>
          <t>Postgraduate</t>
        </is>
      </c>
      <c r="H53" t="inlineStr">
        <is>
          <t>Bengaluru</t>
        </is>
      </c>
      <c r="I53" t="n">
        <v>14</v>
      </c>
      <c r="J53" s="5" t="n">
        <v>81164</v>
      </c>
      <c r="K53" t="inlineStr">
        <is>
          <t>Part-Time</t>
        </is>
      </c>
      <c r="L53" t="inlineStr">
        <is>
          <t>On Leave</t>
        </is>
      </c>
      <c r="M53" t="inlineStr">
        <is>
          <t>No</t>
        </is>
      </c>
    </row>
    <row r="54">
      <c r="A54" t="inlineStr">
        <is>
          <t>E050</t>
        </is>
      </c>
      <c r="B54" s="4" t="n">
        <v>46173</v>
      </c>
      <c r="C54" t="inlineStr">
        <is>
          <t>Employee 50</t>
        </is>
      </c>
      <c r="D54" t="n">
        <v>30</v>
      </c>
      <c r="E54" t="inlineStr">
        <is>
          <t>Finance</t>
        </is>
      </c>
      <c r="F54" t="inlineStr">
        <is>
          <t>Financial Analyst</t>
        </is>
      </c>
      <c r="G54" t="inlineStr">
        <is>
          <t>Postgraduate</t>
        </is>
      </c>
      <c r="H54" t="inlineStr">
        <is>
          <t>Patna</t>
        </is>
      </c>
      <c r="I54" t="n">
        <v>9</v>
      </c>
      <c r="J54" s="5" t="n">
        <v>70438</v>
      </c>
      <c r="K54" t="inlineStr">
        <is>
          <t>Full-Time</t>
        </is>
      </c>
      <c r="L54" t="inlineStr">
        <is>
          <t>Active</t>
        </is>
      </c>
      <c r="M54" t="inlineStr">
        <is>
          <t>No</t>
        </is>
      </c>
    </row>
    <row r="55">
      <c r="A55" t="inlineStr">
        <is>
          <t>E051</t>
        </is>
      </c>
      <c r="B55" s="4" t="n">
        <v>45829</v>
      </c>
      <c r="C55" t="inlineStr">
        <is>
          <t>Employee 51</t>
        </is>
      </c>
      <c r="D55" t="n">
        <v>36</v>
      </c>
      <c r="E55" t="inlineStr">
        <is>
          <t>HR</t>
        </is>
      </c>
      <c r="F55" t="inlineStr">
        <is>
          <t>HR Executive</t>
        </is>
      </c>
      <c r="G55" t="inlineStr">
        <is>
          <t>Graduate</t>
        </is>
      </c>
      <c r="H55" t="inlineStr">
        <is>
          <t>Delhi</t>
        </is>
      </c>
      <c r="I55" t="n">
        <v>6</v>
      </c>
      <c r="J55" s="5" t="n">
        <v>62706</v>
      </c>
      <c r="K55" t="inlineStr">
        <is>
          <t>Full-Time</t>
        </is>
      </c>
      <c r="L55" t="inlineStr">
        <is>
          <t>Active</t>
        </is>
      </c>
      <c r="M55" t="inlineStr">
        <is>
          <t>No</t>
        </is>
      </c>
    </row>
    <row r="56">
      <c r="A56" t="inlineStr">
        <is>
          <t>E052</t>
        </is>
      </c>
      <c r="B56" s="4" t="n">
        <v>45986</v>
      </c>
      <c r="C56" t="inlineStr">
        <is>
          <t>Employee 52</t>
        </is>
      </c>
      <c r="D56" t="n">
        <v>27</v>
      </c>
      <c r="E56" t="inlineStr">
        <is>
          <t>IT</t>
        </is>
      </c>
      <c r="F56" t="inlineStr">
        <is>
          <t>Software Analyst</t>
        </is>
      </c>
      <c r="G56" t="inlineStr">
        <is>
          <t>Graduate</t>
        </is>
      </c>
      <c r="H56" t="inlineStr">
        <is>
          <t>Mumbai</t>
        </is>
      </c>
      <c r="I56" t="n">
        <v>2</v>
      </c>
      <c r="J56" s="5" t="n">
        <v>65853</v>
      </c>
      <c r="K56" t="inlineStr">
        <is>
          <t>Full-Time</t>
        </is>
      </c>
      <c r="L56" t="inlineStr">
        <is>
          <t>Active</t>
        </is>
      </c>
      <c r="M56" t="inlineStr">
        <is>
          <t>No</t>
        </is>
      </c>
    </row>
    <row r="57">
      <c r="A57" t="inlineStr">
        <is>
          <t>E053</t>
        </is>
      </c>
      <c r="B57" s="4" t="n">
        <v>45759</v>
      </c>
      <c r="C57" t="inlineStr">
        <is>
          <t>Employee 53</t>
        </is>
      </c>
      <c r="D57" t="n">
        <v>39</v>
      </c>
      <c r="E57" t="inlineStr">
        <is>
          <t>Marketing</t>
        </is>
      </c>
      <c r="F57" t="inlineStr">
        <is>
          <t>Marketing Executive</t>
        </is>
      </c>
      <c r="G57" t="inlineStr">
        <is>
          <t>Postgraduate</t>
        </is>
      </c>
      <c r="H57" t="inlineStr">
        <is>
          <t>Mumbai</t>
        </is>
      </c>
      <c r="I57" t="n">
        <v>1</v>
      </c>
      <c r="J57" s="5" t="n">
        <v>51727</v>
      </c>
      <c r="K57" t="inlineStr">
        <is>
          <t>Part-Time</t>
        </is>
      </c>
      <c r="L57" t="inlineStr">
        <is>
          <t>On Leave</t>
        </is>
      </c>
      <c r="M57" t="inlineStr">
        <is>
          <t>No</t>
        </is>
      </c>
    </row>
    <row r="58">
      <c r="A58" t="inlineStr">
        <is>
          <t>E054</t>
        </is>
      </c>
      <c r="B58" s="4" t="n">
        <v>45737</v>
      </c>
      <c r="C58" t="inlineStr">
        <is>
          <t>Employee 54</t>
        </is>
      </c>
      <c r="D58" t="n">
        <v>42</v>
      </c>
      <c r="E58" t="inlineStr">
        <is>
          <t>Operations</t>
        </is>
      </c>
      <c r="F58" t="inlineStr">
        <is>
          <t>Operations Executive</t>
        </is>
      </c>
      <c r="G58" t="inlineStr">
        <is>
          <t>Graduate</t>
        </is>
      </c>
      <c r="H58" t="inlineStr">
        <is>
          <t>Patna</t>
        </is>
      </c>
      <c r="I58" t="n">
        <v>12</v>
      </c>
      <c r="J58" s="5" t="n">
        <v>68953</v>
      </c>
      <c r="K58" t="inlineStr">
        <is>
          <t>Full-Time</t>
        </is>
      </c>
      <c r="L58" t="inlineStr">
        <is>
          <t>Active</t>
        </is>
      </c>
      <c r="M58" t="inlineStr">
        <is>
          <t>No</t>
        </is>
      </c>
    </row>
    <row r="59">
      <c r="A59" t="inlineStr">
        <is>
          <t>E055</t>
        </is>
      </c>
      <c r="B59" s="4" t="n">
        <v>46118</v>
      </c>
      <c r="C59" t="inlineStr">
        <is>
          <t>Employee 55</t>
        </is>
      </c>
      <c r="D59" t="n">
        <v>28</v>
      </c>
      <c r="E59" t="inlineStr">
        <is>
          <t>Sales</t>
        </is>
      </c>
      <c r="F59" t="inlineStr">
        <is>
          <t>Sales Executive</t>
        </is>
      </c>
      <c r="G59" t="inlineStr">
        <is>
          <t>Postgraduate</t>
        </is>
      </c>
      <c r="H59" t="inlineStr">
        <is>
          <t>Mumbai</t>
        </is>
      </c>
      <c r="I59" t="n">
        <v>8</v>
      </c>
      <c r="J59" s="5" t="n">
        <v>60408</v>
      </c>
      <c r="K59" t="inlineStr">
        <is>
          <t>Full-Time</t>
        </is>
      </c>
      <c r="L59" t="inlineStr">
        <is>
          <t>Resigned</t>
        </is>
      </c>
      <c r="M59" t="inlineStr">
        <is>
          <t>Yes</t>
        </is>
      </c>
    </row>
    <row r="60">
      <c r="A60" t="inlineStr">
        <is>
          <t>E056</t>
        </is>
      </c>
      <c r="B60" s="4" t="n">
        <v>45953</v>
      </c>
      <c r="C60" t="inlineStr">
        <is>
          <t>Employee 56</t>
        </is>
      </c>
      <c r="D60" t="n">
        <v>35</v>
      </c>
      <c r="E60" t="inlineStr">
        <is>
          <t>Finance</t>
        </is>
      </c>
      <c r="F60" t="inlineStr">
        <is>
          <t>Financial Analyst</t>
        </is>
      </c>
      <c r="G60" t="inlineStr">
        <is>
          <t>Graduate</t>
        </is>
      </c>
      <c r="H60" t="inlineStr">
        <is>
          <t>Delhi</t>
        </is>
      </c>
      <c r="I60" t="n">
        <v>18</v>
      </c>
      <c r="J60" s="5" t="n">
        <v>99100</v>
      </c>
      <c r="K60" t="inlineStr">
        <is>
          <t>Part-Time</t>
        </is>
      </c>
      <c r="L60" t="inlineStr">
        <is>
          <t>Active</t>
        </is>
      </c>
      <c r="M60" t="inlineStr">
        <is>
          <t>No</t>
        </is>
      </c>
    </row>
    <row r="61">
      <c r="A61" t="inlineStr">
        <is>
          <t>E057</t>
        </is>
      </c>
      <c r="B61" s="4" t="n">
        <v>46096</v>
      </c>
      <c r="C61" t="inlineStr">
        <is>
          <t>Employee 57</t>
        </is>
      </c>
      <c r="D61" t="n">
        <v>44</v>
      </c>
      <c r="E61" t="inlineStr">
        <is>
          <t>HR</t>
        </is>
      </c>
      <c r="F61" t="inlineStr">
        <is>
          <t>HR Executive</t>
        </is>
      </c>
      <c r="G61" t="inlineStr">
        <is>
          <t>Graduate</t>
        </is>
      </c>
      <c r="H61" t="inlineStr">
        <is>
          <t>Bengaluru</t>
        </is>
      </c>
      <c r="I61" t="n">
        <v>12</v>
      </c>
      <c r="J61" s="5" t="n">
        <v>77622</v>
      </c>
      <c r="K61" t="inlineStr">
        <is>
          <t>Part-Time</t>
        </is>
      </c>
      <c r="L61" t="inlineStr">
        <is>
          <t>On Leave</t>
        </is>
      </c>
      <c r="M61" t="inlineStr">
        <is>
          <t>No</t>
        </is>
      </c>
    </row>
    <row r="62">
      <c r="A62" t="inlineStr">
        <is>
          <t>E058</t>
        </is>
      </c>
      <c r="B62" s="4" t="n">
        <v>45724</v>
      </c>
      <c r="C62" t="inlineStr">
        <is>
          <t>Employee 58</t>
        </is>
      </c>
      <c r="D62" t="n">
        <v>43</v>
      </c>
      <c r="E62" t="inlineStr">
        <is>
          <t>IT</t>
        </is>
      </c>
      <c r="F62" t="inlineStr">
        <is>
          <t>Software Analyst</t>
        </is>
      </c>
      <c r="G62" t="inlineStr">
        <is>
          <t>Graduate</t>
        </is>
      </c>
      <c r="H62" t="inlineStr">
        <is>
          <t>Patna</t>
        </is>
      </c>
      <c r="I62" t="n">
        <v>2</v>
      </c>
      <c r="J62" s="5" t="n">
        <v>74550</v>
      </c>
      <c r="K62" t="inlineStr">
        <is>
          <t>Full-Time</t>
        </is>
      </c>
      <c r="L62" t="inlineStr">
        <is>
          <t>Resigned</t>
        </is>
      </c>
      <c r="M62" t="inlineStr">
        <is>
          <t>Yes</t>
        </is>
      </c>
    </row>
    <row r="63">
      <c r="A63" t="inlineStr">
        <is>
          <t>E059</t>
        </is>
      </c>
      <c r="B63" s="4" t="n">
        <v>45903</v>
      </c>
      <c r="C63" t="inlineStr">
        <is>
          <t>Employee 59</t>
        </is>
      </c>
      <c r="D63" t="n">
        <v>24</v>
      </c>
      <c r="E63" t="inlineStr">
        <is>
          <t>Marketing</t>
        </is>
      </c>
      <c r="F63" t="inlineStr">
        <is>
          <t>Marketing Executive</t>
        </is>
      </c>
      <c r="G63" t="inlineStr">
        <is>
          <t>Graduate</t>
        </is>
      </c>
      <c r="H63" t="inlineStr">
        <is>
          <t>Delhi</t>
        </is>
      </c>
      <c r="I63" t="n">
        <v>9</v>
      </c>
      <c r="J63" s="5" t="n">
        <v>72763</v>
      </c>
      <c r="K63" t="inlineStr">
        <is>
          <t>Full-Time</t>
        </is>
      </c>
      <c r="L63" t="inlineStr">
        <is>
          <t>Resigned</t>
        </is>
      </c>
      <c r="M63" t="inlineStr">
        <is>
          <t>Yes</t>
        </is>
      </c>
    </row>
    <row r="64">
      <c r="A64" t="inlineStr">
        <is>
          <t>E060</t>
        </is>
      </c>
      <c r="B64" s="4" t="n">
        <v>46038</v>
      </c>
      <c r="C64" t="inlineStr">
        <is>
          <t>Employee 60</t>
        </is>
      </c>
      <c r="D64" t="n">
        <v>26</v>
      </c>
      <c r="E64" t="inlineStr">
        <is>
          <t>Operations</t>
        </is>
      </c>
      <c r="F64" t="inlineStr">
        <is>
          <t>Operations Executive</t>
        </is>
      </c>
      <c r="G64" t="inlineStr">
        <is>
          <t>Graduate</t>
        </is>
      </c>
      <c r="H64" t="inlineStr">
        <is>
          <t>Kolkata</t>
        </is>
      </c>
      <c r="I64" t="n">
        <v>4</v>
      </c>
      <c r="J64" s="5" t="n">
        <v>52947</v>
      </c>
      <c r="K64" t="inlineStr">
        <is>
          <t>Part-Time</t>
        </is>
      </c>
      <c r="L64" t="inlineStr">
        <is>
          <t>Resigned</t>
        </is>
      </c>
      <c r="M64" t="inlineStr">
        <is>
          <t>Yes</t>
        </is>
      </c>
    </row>
    <row r="65">
      <c r="A65" t="inlineStr">
        <is>
          <t>E001</t>
        </is>
      </c>
      <c r="B65" s="6" t="n">
        <v>45794</v>
      </c>
      <c r="C65" t="inlineStr">
        <is>
          <t>Employee 1</t>
        </is>
      </c>
      <c r="D65" t="n">
        <v>36</v>
      </c>
      <c r="E65" t="inlineStr">
        <is>
          <t xml:space="preserve"> Sales </t>
        </is>
      </c>
      <c r="F65" t="inlineStr">
        <is>
          <t>Sales Executive</t>
        </is>
      </c>
      <c r="G65" t="inlineStr">
        <is>
          <t>Graduate</t>
        </is>
      </c>
      <c r="H65" t="inlineStr">
        <is>
          <t>Delhi</t>
        </is>
      </c>
      <c r="I65" t="n">
        <v>17</v>
      </c>
      <c r="J65" t="n">
        <v>87918</v>
      </c>
      <c r="K65" t="inlineStr">
        <is>
          <t>Full-Time</t>
        </is>
      </c>
      <c r="L65" t="inlineStr">
        <is>
          <t>Resigned</t>
        </is>
      </c>
      <c r="M65" t="inlineStr">
        <is>
          <t>Yes</t>
        </is>
      </c>
    </row>
  </sheetData>
  <mergeCells count="2">
    <mergeCell ref="A2:M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35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HR Data Quality Check</t>
        </is>
      </c>
    </row>
    <row r="2"/>
    <row r="3"/>
    <row r="4">
      <c r="A4" s="3" t="inlineStr">
        <is>
          <t>Check</t>
        </is>
      </c>
      <c r="B4" s="3" t="inlineStr">
        <is>
          <t>Result</t>
        </is>
      </c>
      <c r="C4" s="3" t="inlineStr">
        <is>
          <t>Rule</t>
        </is>
      </c>
      <c r="D4" s="3" t="inlineStr">
        <is>
          <t>Status</t>
        </is>
      </c>
      <c r="E4" s="3" t="n"/>
      <c r="F4" s="3" t="n"/>
      <c r="G4" s="3" t="n"/>
      <c r="H4" s="3" t="n"/>
    </row>
    <row r="5">
      <c r="A5" t="inlineStr">
        <is>
          <t>Total Records</t>
        </is>
      </c>
      <c r="B5" t="inlineStr">
        <is>
          <t>61</t>
        </is>
      </c>
      <c r="C5" t="inlineStr">
        <is>
          <t>Expected 61 raw rows including one duplicate</t>
        </is>
      </c>
      <c r="D5" t="inlineStr">
        <is>
          <t>Review</t>
        </is>
      </c>
    </row>
    <row r="6">
      <c r="A6" t="inlineStr">
        <is>
          <t>Missing Age</t>
        </is>
      </c>
      <c r="B6">
        <f>COUNTBLANK(Raw_HR_Data!D5:D65)</f>
        <v/>
      </c>
      <c r="C6" t="inlineStr">
        <is>
          <t>Should be reviewed</t>
        </is>
      </c>
      <c r="D6" t="inlineStr">
        <is>
          <t>Review</t>
        </is>
      </c>
    </row>
    <row r="7">
      <c r="A7" t="inlineStr">
        <is>
          <t>Missing Department</t>
        </is>
      </c>
      <c r="B7">
        <f>COUNTBLANK(Raw_HR_Data!E5:E65)</f>
        <v/>
      </c>
      <c r="C7" t="inlineStr">
        <is>
          <t>Should be reviewed</t>
        </is>
      </c>
      <c r="D7" t="inlineStr">
        <is>
          <t>Review</t>
        </is>
      </c>
    </row>
    <row r="8">
      <c r="A8" t="inlineStr">
        <is>
          <t>Missing Salary</t>
        </is>
      </c>
      <c r="B8">
        <f>COUNTBLANK(Raw_HR_Data!J5:J65)</f>
        <v/>
      </c>
      <c r="C8" t="inlineStr">
        <is>
          <t>Should be reviewed</t>
        </is>
      </c>
      <c r="D8" t="inlineStr">
        <is>
          <t>Review</t>
        </is>
      </c>
    </row>
    <row r="9">
      <c r="A9" t="inlineStr">
        <is>
          <t>Negative Experience</t>
        </is>
      </c>
      <c r="B9">
        <f>COUNTIF(Raw_HR_Data!I5:I65,"&lt;0")</f>
        <v/>
      </c>
      <c r="C9" t="inlineStr">
        <is>
          <t>Should be 0 after cleaning</t>
        </is>
      </c>
      <c r="D9" t="inlineStr">
        <is>
          <t>Review</t>
        </is>
      </c>
    </row>
    <row r="10">
      <c r="A10" t="inlineStr">
        <is>
          <t>Duplicate Rows</t>
        </is>
      </c>
      <c r="B10" t="inlineStr">
        <is>
          <t>1</t>
        </is>
      </c>
      <c r="C10" t="inlineStr">
        <is>
          <t>Remove exact duplicate</t>
        </is>
      </c>
      <c r="D10" t="inlineStr">
        <is>
          <t>Review</t>
        </is>
      </c>
    </row>
    <row r="11">
      <c r="A11" t="inlineStr">
        <is>
          <t>Text Consistency</t>
        </is>
      </c>
      <c r="B11" t="inlineStr">
        <is>
          <t>Review manually</t>
        </is>
      </c>
      <c r="C11" t="inlineStr">
        <is>
          <t>Trim and standardise case</t>
        </is>
      </c>
      <c r="D11" t="inlineStr">
        <is>
          <t>Review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HR Data Cleaning</t>
        </is>
      </c>
    </row>
    <row r="2"/>
    <row r="3"/>
    <row r="4">
      <c r="A4" s="3" t="inlineStr">
        <is>
          <t>Issue</t>
        </is>
      </c>
      <c r="B4" s="3" t="inlineStr">
        <is>
          <t>Cleaning Action</t>
        </is>
      </c>
      <c r="C4" s="3" t="inlineStr">
        <is>
          <t>Example</t>
        </is>
      </c>
      <c r="D4" s="3" t="n"/>
      <c r="E4" s="3" t="n"/>
      <c r="F4" s="3" t="n"/>
      <c r="G4" s="3" t="n"/>
      <c r="H4" s="3" t="n"/>
    </row>
    <row r="5">
      <c r="A5" t="inlineStr">
        <is>
          <t>Extra spaces</t>
        </is>
      </c>
      <c r="B5" t="inlineStr">
        <is>
          <t>Trim text</t>
        </is>
      </c>
      <c r="C5" t="inlineStr">
        <is>
          <t>' Sales ' → 'Sales'</t>
        </is>
      </c>
    </row>
    <row r="6">
      <c r="A6" t="inlineStr">
        <is>
          <t>Inconsistent case</t>
        </is>
      </c>
      <c r="B6" t="inlineStr">
        <is>
          <t>Standardise text</t>
        </is>
      </c>
      <c r="C6" t="inlineStr">
        <is>
          <t>'software analyst' → 'Software Analyst'</t>
        </is>
      </c>
    </row>
    <row r="7">
      <c r="A7" t="inlineStr">
        <is>
          <t>Missing Age</t>
        </is>
      </c>
      <c r="B7" t="inlineStr">
        <is>
          <t>Replace with documented practice value</t>
        </is>
      </c>
      <c r="C7" t="inlineStr">
        <is>
          <t>Validate before use</t>
        </is>
      </c>
    </row>
    <row r="8">
      <c r="A8" t="inlineStr">
        <is>
          <t>Missing Department</t>
        </is>
      </c>
      <c r="B8" t="inlineStr">
        <is>
          <t>Replace with documented practice value</t>
        </is>
      </c>
      <c r="C8" t="inlineStr">
        <is>
          <t>Validate before use</t>
        </is>
      </c>
    </row>
    <row r="9">
      <c r="A9" t="inlineStr">
        <is>
          <t>Missing Salary</t>
        </is>
      </c>
      <c r="B9" t="inlineStr">
        <is>
          <t>Replace with documented practice value</t>
        </is>
      </c>
      <c r="C9" t="inlineStr">
        <is>
          <t>Validate before use</t>
        </is>
      </c>
    </row>
    <row r="10">
      <c r="A10" t="inlineStr">
        <is>
          <t>Missing Experience</t>
        </is>
      </c>
      <c r="B10" t="inlineStr">
        <is>
          <t>Replace with documented practice value</t>
        </is>
      </c>
      <c r="C10" t="inlineStr">
        <is>
          <t>Validate before use</t>
        </is>
      </c>
    </row>
    <row r="11">
      <c r="A11" t="inlineStr">
        <is>
          <t>Negative Experience</t>
        </is>
      </c>
      <c r="B11" t="inlineStr">
        <is>
          <t>Correct after validation</t>
        </is>
      </c>
      <c r="C11" t="inlineStr">
        <is>
          <t>Experience cannot be negative</t>
        </is>
      </c>
    </row>
    <row r="12">
      <c r="A12" t="inlineStr">
        <is>
          <t>Invalid numeric text</t>
        </is>
      </c>
      <c r="B12" t="inlineStr">
        <is>
          <t>Convert to numeric</t>
        </is>
      </c>
      <c r="C12" t="inlineStr">
        <is>
          <t>'N/A' → missing</t>
        </is>
      </c>
    </row>
    <row r="13">
      <c r="A13" t="inlineStr">
        <is>
          <t>Duplicate record</t>
        </is>
      </c>
      <c r="B13" t="inlineStr">
        <is>
          <t>Remove exact duplicate</t>
        </is>
      </c>
      <c r="C13" t="inlineStr">
        <is>
          <t>Keep one record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2" customWidth="1" min="4" max="4"/>
    <col width="12" customWidth="1" min="5" max="5"/>
    <col width="22" customWidth="1" min="6" max="6"/>
    <col width="14" customWidth="1" min="7" max="7"/>
    <col width="12" customWidth="1" min="8" max="8"/>
    <col width="18" customWidth="1" min="9" max="9"/>
    <col width="16" customWidth="1" min="10" max="10"/>
    <col width="17" customWidth="1" min="11" max="11"/>
    <col width="17" customWidth="1" min="12" max="12"/>
    <col width="12" customWidth="1" min="13" max="13"/>
  </cols>
  <sheetData>
    <row r="1">
      <c r="A1" s="1" t="inlineStr">
        <is>
          <t>Cleaned HR Data</t>
        </is>
      </c>
    </row>
    <row r="2"/>
    <row r="3"/>
    <row r="4">
      <c r="A4" s="3" t="inlineStr">
        <is>
          <t>Employee_ID</t>
        </is>
      </c>
      <c r="B4" s="3" t="inlineStr">
        <is>
          <t>Joining_Date</t>
        </is>
      </c>
      <c r="C4" s="3" t="inlineStr">
        <is>
          <t>Employee_Name</t>
        </is>
      </c>
      <c r="D4" s="3" t="inlineStr">
        <is>
          <t>Age</t>
        </is>
      </c>
      <c r="E4" s="3" t="inlineStr">
        <is>
          <t>Department</t>
        </is>
      </c>
      <c r="F4" s="3" t="inlineStr">
        <is>
          <t>Job_Role</t>
        </is>
      </c>
      <c r="G4" s="3" t="inlineStr">
        <is>
          <t>Education</t>
        </is>
      </c>
      <c r="H4" s="3" t="inlineStr">
        <is>
          <t>Location</t>
        </is>
      </c>
      <c r="I4" s="3" t="inlineStr">
        <is>
          <t>Experience_Years</t>
        </is>
      </c>
      <c r="J4" s="3" t="inlineStr">
        <is>
          <t>Monthly_Salary</t>
        </is>
      </c>
      <c r="K4" s="3" t="inlineStr">
        <is>
          <t>Employment_Type</t>
        </is>
      </c>
      <c r="L4" s="3" t="inlineStr">
        <is>
          <t>Employee_Status</t>
        </is>
      </c>
      <c r="M4" s="3" t="inlineStr">
        <is>
          <t>Attrition</t>
        </is>
      </c>
    </row>
    <row r="5">
      <c r="A5" t="inlineStr">
        <is>
          <t>E001</t>
        </is>
      </c>
      <c r="B5" s="4" t="n">
        <v>45794</v>
      </c>
      <c r="C5" t="inlineStr">
        <is>
          <t>Employee 1</t>
        </is>
      </c>
      <c r="D5" t="n">
        <v>36</v>
      </c>
      <c r="E5" t="inlineStr">
        <is>
          <t>Sales</t>
        </is>
      </c>
      <c r="F5" t="inlineStr">
        <is>
          <t>Sales Executive</t>
        </is>
      </c>
      <c r="G5" t="inlineStr">
        <is>
          <t>Graduate</t>
        </is>
      </c>
      <c r="H5" t="inlineStr">
        <is>
          <t>Delhi</t>
        </is>
      </c>
      <c r="I5" t="n">
        <v>17</v>
      </c>
      <c r="J5" s="5" t="n">
        <v>87918</v>
      </c>
      <c r="K5" t="inlineStr">
        <is>
          <t>Full-Time</t>
        </is>
      </c>
      <c r="L5" t="inlineStr">
        <is>
          <t>Resigned</t>
        </is>
      </c>
      <c r="M5" t="inlineStr">
        <is>
          <t>Yes</t>
        </is>
      </c>
    </row>
    <row r="6">
      <c r="A6" t="inlineStr">
        <is>
          <t>E002</t>
        </is>
      </c>
      <c r="B6" s="4" t="n">
        <v>45708</v>
      </c>
      <c r="C6" t="inlineStr">
        <is>
          <t>Employee 2</t>
        </is>
      </c>
      <c r="D6" t="n">
        <v>39</v>
      </c>
      <c r="E6" t="inlineStr">
        <is>
          <t>Finance</t>
        </is>
      </c>
      <c r="F6" t="inlineStr">
        <is>
          <t>Financial Analyst</t>
        </is>
      </c>
      <c r="G6" t="inlineStr">
        <is>
          <t>Graduate</t>
        </is>
      </c>
      <c r="H6" t="inlineStr">
        <is>
          <t>Patna</t>
        </is>
      </c>
      <c r="I6" t="n">
        <v>2</v>
      </c>
      <c r="J6" s="5" t="n">
        <v>54532</v>
      </c>
      <c r="K6" t="inlineStr">
        <is>
          <t>Part-Time</t>
        </is>
      </c>
      <c r="L6" t="inlineStr">
        <is>
          <t>Active</t>
        </is>
      </c>
      <c r="M6" t="inlineStr">
        <is>
          <t>No</t>
        </is>
      </c>
    </row>
    <row r="7">
      <c r="A7" t="inlineStr">
        <is>
          <t>E003</t>
        </is>
      </c>
      <c r="B7" s="4" t="n">
        <v>45820</v>
      </c>
      <c r="C7" t="inlineStr">
        <is>
          <t>Employee 3</t>
        </is>
      </c>
      <c r="D7" t="n">
        <v>26</v>
      </c>
      <c r="E7" t="inlineStr">
        <is>
          <t>Hr</t>
        </is>
      </c>
      <c r="F7" t="inlineStr">
        <is>
          <t>Hr Executive</t>
        </is>
      </c>
      <c r="G7" t="inlineStr">
        <is>
          <t>Graduate</t>
        </is>
      </c>
      <c r="H7" t="inlineStr">
        <is>
          <t>Bengaluru</t>
        </is>
      </c>
      <c r="I7" t="n">
        <v>8</v>
      </c>
      <c r="J7" s="5" t="n">
        <v>64340</v>
      </c>
      <c r="K7" t="inlineStr">
        <is>
          <t>Part-Time</t>
        </is>
      </c>
      <c r="L7" t="inlineStr">
        <is>
          <t>Active</t>
        </is>
      </c>
      <c r="M7" t="inlineStr">
        <is>
          <t>No</t>
        </is>
      </c>
    </row>
    <row r="8">
      <c r="A8" t="inlineStr">
        <is>
          <t>E004</t>
        </is>
      </c>
      <c r="B8" s="4" t="n">
        <v>45922</v>
      </c>
      <c r="C8" t="inlineStr">
        <is>
          <t>Employee 4</t>
        </is>
      </c>
      <c r="D8" t="n">
        <v>37</v>
      </c>
      <c r="E8" t="inlineStr">
        <is>
          <t>It</t>
        </is>
      </c>
      <c r="F8" t="inlineStr">
        <is>
          <t>Software Analyst</t>
        </is>
      </c>
      <c r="G8" t="inlineStr">
        <is>
          <t>Graduate</t>
        </is>
      </c>
      <c r="H8" t="inlineStr">
        <is>
          <t>Patna</t>
        </is>
      </c>
      <c r="I8" t="n">
        <v>5</v>
      </c>
      <c r="J8" s="5" t="n">
        <v>82342</v>
      </c>
      <c r="K8" t="inlineStr">
        <is>
          <t>Full-Time</t>
        </is>
      </c>
      <c r="L8" t="inlineStr">
        <is>
          <t>Active</t>
        </is>
      </c>
      <c r="M8" t="inlineStr">
        <is>
          <t>No</t>
        </is>
      </c>
    </row>
    <row r="9">
      <c r="A9" t="inlineStr">
        <is>
          <t>E005</t>
        </is>
      </c>
      <c r="B9" s="4" t="n">
        <v>45677</v>
      </c>
      <c r="C9" t="inlineStr">
        <is>
          <t>Employee 5</t>
        </is>
      </c>
      <c r="D9" t="n">
        <v>21</v>
      </c>
      <c r="E9" t="inlineStr">
        <is>
          <t>Sales</t>
        </is>
      </c>
      <c r="F9" t="inlineStr">
        <is>
          <t>Marketing Executive</t>
        </is>
      </c>
      <c r="G9" t="inlineStr">
        <is>
          <t>Postgraduate</t>
        </is>
      </c>
      <c r="H9" t="inlineStr">
        <is>
          <t>Kolkata</t>
        </is>
      </c>
      <c r="I9" t="n">
        <v>11</v>
      </c>
      <c r="J9" s="5" t="n">
        <v>76196</v>
      </c>
      <c r="K9" t="inlineStr">
        <is>
          <t>Part-Time</t>
        </is>
      </c>
      <c r="L9" t="inlineStr">
        <is>
          <t>Active</t>
        </is>
      </c>
      <c r="M9" t="inlineStr">
        <is>
          <t>No</t>
        </is>
      </c>
    </row>
    <row r="10">
      <c r="A10" t="inlineStr">
        <is>
          <t>E006</t>
        </is>
      </c>
      <c r="B10" s="4" t="n">
        <v>46103</v>
      </c>
      <c r="C10" t="inlineStr">
        <is>
          <t>Employee 6</t>
        </is>
      </c>
      <c r="D10" t="n">
        <v>40</v>
      </c>
      <c r="E10" t="inlineStr">
        <is>
          <t>Operations</t>
        </is>
      </c>
      <c r="F10" t="inlineStr">
        <is>
          <t>Operations Executive</t>
        </is>
      </c>
      <c r="G10" t="inlineStr">
        <is>
          <t>Postgraduate</t>
        </is>
      </c>
      <c r="H10" t="inlineStr">
        <is>
          <t>Patna</t>
        </is>
      </c>
      <c r="I10" t="n">
        <v>9</v>
      </c>
      <c r="J10" s="5" t="n">
        <v>63580</v>
      </c>
      <c r="K10" t="inlineStr">
        <is>
          <t>Full-Time</t>
        </is>
      </c>
      <c r="L10" t="inlineStr">
        <is>
          <t>Active</t>
        </is>
      </c>
      <c r="M10" t="inlineStr">
        <is>
          <t>No</t>
        </is>
      </c>
    </row>
    <row r="11">
      <c r="A11" t="inlineStr">
        <is>
          <t>E007</t>
        </is>
      </c>
      <c r="B11" s="4" t="n">
        <v>45677</v>
      </c>
      <c r="C11" t="inlineStr">
        <is>
          <t>Employee 7</t>
        </is>
      </c>
      <c r="D11" t="n">
        <v>27</v>
      </c>
      <c r="E11" t="inlineStr">
        <is>
          <t>Sales</t>
        </is>
      </c>
      <c r="F11" t="inlineStr">
        <is>
          <t>Sales Executive</t>
        </is>
      </c>
      <c r="G11" t="inlineStr">
        <is>
          <t>Postgraduate</t>
        </is>
      </c>
      <c r="H11" t="inlineStr">
        <is>
          <t>Delhi</t>
        </is>
      </c>
      <c r="I11" t="n">
        <v>2</v>
      </c>
      <c r="J11" s="5" t="n">
        <v>51225</v>
      </c>
      <c r="K11" t="inlineStr">
        <is>
          <t>Part-Time</t>
        </is>
      </c>
      <c r="L11" t="inlineStr">
        <is>
          <t>Active</t>
        </is>
      </c>
      <c r="M11" t="inlineStr">
        <is>
          <t>No</t>
        </is>
      </c>
    </row>
    <row r="12">
      <c r="A12" t="inlineStr">
        <is>
          <t>E008</t>
        </is>
      </c>
      <c r="B12" s="4" t="n">
        <v>46066</v>
      </c>
      <c r="C12" t="inlineStr">
        <is>
          <t>Employee 8</t>
        </is>
      </c>
      <c r="D12" t="n">
        <v>43</v>
      </c>
      <c r="E12" t="inlineStr">
        <is>
          <t>Finance</t>
        </is>
      </c>
      <c r="F12" t="inlineStr">
        <is>
          <t>Financial Analyst</t>
        </is>
      </c>
      <c r="G12" t="inlineStr">
        <is>
          <t>Postgraduate</t>
        </is>
      </c>
      <c r="H12" t="inlineStr">
        <is>
          <t>Delhi</t>
        </is>
      </c>
      <c r="I12" t="n">
        <v>18</v>
      </c>
      <c r="J12" s="5" t="n">
        <v>92704</v>
      </c>
      <c r="K12" t="inlineStr">
        <is>
          <t>Full-Time</t>
        </is>
      </c>
      <c r="L12" t="inlineStr">
        <is>
          <t>Resigned</t>
        </is>
      </c>
      <c r="M12" t="inlineStr">
        <is>
          <t>Yes</t>
        </is>
      </c>
    </row>
    <row r="13">
      <c r="A13" t="inlineStr">
        <is>
          <t>E009</t>
        </is>
      </c>
      <c r="B13" s="4" t="n">
        <v>45994</v>
      </c>
      <c r="C13" t="inlineStr">
        <is>
          <t>Employee 9</t>
        </is>
      </c>
      <c r="D13" t="n">
        <v>30</v>
      </c>
      <c r="E13" t="inlineStr">
        <is>
          <t>Hr</t>
        </is>
      </c>
      <c r="F13" t="inlineStr">
        <is>
          <t>Hr Executive</t>
        </is>
      </c>
      <c r="G13" t="inlineStr">
        <is>
          <t>Postgraduate</t>
        </is>
      </c>
      <c r="H13" t="inlineStr">
        <is>
          <t>Kolkata</t>
        </is>
      </c>
      <c r="I13" t="n">
        <v>14</v>
      </c>
      <c r="J13" s="5" t="n">
        <v>80520</v>
      </c>
      <c r="K13" t="inlineStr">
        <is>
          <t>Full-Time</t>
        </is>
      </c>
      <c r="L13" t="inlineStr">
        <is>
          <t>Active</t>
        </is>
      </c>
      <c r="M13" t="inlineStr">
        <is>
          <t>No</t>
        </is>
      </c>
    </row>
    <row r="14">
      <c r="A14" t="inlineStr">
        <is>
          <t>E010</t>
        </is>
      </c>
      <c r="B14" s="4" t="n">
        <v>45778</v>
      </c>
      <c r="C14" t="inlineStr">
        <is>
          <t>Employee 10</t>
        </is>
      </c>
      <c r="D14" t="n">
        <v>26</v>
      </c>
      <c r="E14" t="inlineStr">
        <is>
          <t>It</t>
        </is>
      </c>
      <c r="F14" t="inlineStr">
        <is>
          <t>Software Analyst</t>
        </is>
      </c>
      <c r="G14" t="inlineStr">
        <is>
          <t>Graduate</t>
        </is>
      </c>
      <c r="H14" t="inlineStr">
        <is>
          <t>Patna</t>
        </is>
      </c>
      <c r="I14" t="n">
        <v>8</v>
      </c>
      <c r="J14" s="5" t="n">
        <v>46000</v>
      </c>
      <c r="K14" t="inlineStr">
        <is>
          <t>Full-Time</t>
        </is>
      </c>
      <c r="L14" t="inlineStr">
        <is>
          <t>Active</t>
        </is>
      </c>
      <c r="M14" t="inlineStr">
        <is>
          <t>No</t>
        </is>
      </c>
    </row>
    <row r="15">
      <c r="A15" t="inlineStr">
        <is>
          <t>E011</t>
        </is>
      </c>
      <c r="B15" s="4" t="n">
        <v>45684</v>
      </c>
      <c r="C15" t="inlineStr">
        <is>
          <t>Employee 11</t>
        </is>
      </c>
      <c r="D15" t="n">
        <v>32</v>
      </c>
      <c r="E15" t="inlineStr">
        <is>
          <t>Marketing</t>
        </is>
      </c>
      <c r="F15" t="inlineStr">
        <is>
          <t>Marketing Executive</t>
        </is>
      </c>
      <c r="G15" t="inlineStr">
        <is>
          <t>Postgraduate</t>
        </is>
      </c>
      <c r="H15" t="inlineStr">
        <is>
          <t>Delhi</t>
        </is>
      </c>
      <c r="I15" t="n">
        <v>6</v>
      </c>
      <c r="J15" s="5" t="n">
        <v>63306</v>
      </c>
      <c r="K15" t="inlineStr">
        <is>
          <t>Part-Time</t>
        </is>
      </c>
      <c r="L15" t="inlineStr">
        <is>
          <t>Resigned</t>
        </is>
      </c>
      <c r="M15" t="inlineStr">
        <is>
          <t>Yes</t>
        </is>
      </c>
    </row>
    <row r="16">
      <c r="A16" t="inlineStr">
        <is>
          <t>E012</t>
        </is>
      </c>
      <c r="B16" s="4" t="n">
        <v>45686</v>
      </c>
      <c r="C16" t="inlineStr">
        <is>
          <t>Employee 12</t>
        </is>
      </c>
      <c r="D16" t="n">
        <v>40</v>
      </c>
      <c r="E16" t="inlineStr">
        <is>
          <t>Operations</t>
        </is>
      </c>
      <c r="F16" t="inlineStr">
        <is>
          <t>Software Analyst</t>
        </is>
      </c>
      <c r="G16" t="inlineStr">
        <is>
          <t>Postgraduate</t>
        </is>
      </c>
      <c r="H16" t="inlineStr">
        <is>
          <t>Kolkata</t>
        </is>
      </c>
      <c r="I16" t="n">
        <v>7</v>
      </c>
      <c r="J16" s="5" t="n">
        <v>56552</v>
      </c>
      <c r="K16" t="inlineStr">
        <is>
          <t>Full-Time</t>
        </is>
      </c>
      <c r="L16" t="inlineStr">
        <is>
          <t>On Leave</t>
        </is>
      </c>
      <c r="M16" t="inlineStr">
        <is>
          <t>No</t>
        </is>
      </c>
    </row>
    <row r="17">
      <c r="A17" t="inlineStr">
        <is>
          <t>E013</t>
        </is>
      </c>
      <c r="B17" s="4" t="n">
        <v>46041</v>
      </c>
      <c r="C17" t="inlineStr">
        <is>
          <t>Employee 13</t>
        </is>
      </c>
      <c r="D17" t="n">
        <v>34</v>
      </c>
      <c r="E17" t="inlineStr">
        <is>
          <t>Sales</t>
        </is>
      </c>
      <c r="F17" t="inlineStr">
        <is>
          <t>Sales Executive</t>
        </is>
      </c>
      <c r="G17" t="inlineStr">
        <is>
          <t>Postgraduate</t>
        </is>
      </c>
      <c r="H17" t="inlineStr">
        <is>
          <t>Patna</t>
        </is>
      </c>
      <c r="I17" t="n">
        <v>0</v>
      </c>
      <c r="J17" s="5" t="n">
        <v>41807</v>
      </c>
      <c r="K17" t="inlineStr">
        <is>
          <t>Part-Time</t>
        </is>
      </c>
      <c r="L17" t="inlineStr">
        <is>
          <t>Active</t>
        </is>
      </c>
      <c r="M17" t="inlineStr">
        <is>
          <t>No</t>
        </is>
      </c>
    </row>
    <row r="18">
      <c r="A18" t="inlineStr">
        <is>
          <t>E014</t>
        </is>
      </c>
      <c r="B18" s="4" t="n">
        <v>46183</v>
      </c>
      <c r="C18" t="inlineStr">
        <is>
          <t>Employee 14</t>
        </is>
      </c>
      <c r="D18" t="n">
        <v>32</v>
      </c>
      <c r="E18" t="inlineStr">
        <is>
          <t>Finance</t>
        </is>
      </c>
      <c r="F18" t="inlineStr">
        <is>
          <t>Financial Analyst</t>
        </is>
      </c>
      <c r="G18" t="inlineStr">
        <is>
          <t>Graduate</t>
        </is>
      </c>
      <c r="H18" t="inlineStr">
        <is>
          <t>Mumbai</t>
        </is>
      </c>
      <c r="I18" t="n">
        <v>14</v>
      </c>
      <c r="J18" s="5" t="n">
        <v>87486</v>
      </c>
      <c r="K18" t="inlineStr">
        <is>
          <t>Full-Time</t>
        </is>
      </c>
      <c r="L18" t="inlineStr">
        <is>
          <t>Active</t>
        </is>
      </c>
      <c r="M18" t="inlineStr">
        <is>
          <t>No</t>
        </is>
      </c>
    </row>
    <row r="19">
      <c r="A19" t="inlineStr">
        <is>
          <t>E015</t>
        </is>
      </c>
      <c r="B19" s="4" t="n">
        <v>45807</v>
      </c>
      <c r="C19" t="inlineStr">
        <is>
          <t>Employee 15</t>
        </is>
      </c>
      <c r="D19" t="n">
        <v>31</v>
      </c>
      <c r="E19" t="inlineStr">
        <is>
          <t>Hr</t>
        </is>
      </c>
      <c r="F19" t="inlineStr">
        <is>
          <t>Hr Executive</t>
        </is>
      </c>
      <c r="G19" t="inlineStr">
        <is>
          <t>Graduate</t>
        </is>
      </c>
      <c r="H19" t="inlineStr">
        <is>
          <t>Delhi</t>
        </is>
      </c>
      <c r="I19" t="n">
        <v>10</v>
      </c>
      <c r="J19" s="5" t="n">
        <v>66637</v>
      </c>
      <c r="K19" t="inlineStr">
        <is>
          <t>Full-Time</t>
        </is>
      </c>
      <c r="L19" t="inlineStr">
        <is>
          <t>Active</t>
        </is>
      </c>
      <c r="M19" t="inlineStr">
        <is>
          <t>No</t>
        </is>
      </c>
    </row>
    <row r="20">
      <c r="A20" t="inlineStr">
        <is>
          <t>E016</t>
        </is>
      </c>
      <c r="B20" s="4" t="n">
        <v>45665</v>
      </c>
      <c r="C20" t="inlineStr">
        <is>
          <t>Employee 16</t>
        </is>
      </c>
      <c r="D20" t="n">
        <v>41</v>
      </c>
      <c r="E20" t="inlineStr">
        <is>
          <t>It</t>
        </is>
      </c>
      <c r="F20" t="inlineStr">
        <is>
          <t>Software Analyst</t>
        </is>
      </c>
      <c r="G20" t="inlineStr">
        <is>
          <t>Postgraduate</t>
        </is>
      </c>
      <c r="H20" t="inlineStr">
        <is>
          <t>Kolkata</t>
        </is>
      </c>
      <c r="I20" t="n">
        <v>8</v>
      </c>
      <c r="J20" s="5" t="n">
        <v>83626</v>
      </c>
      <c r="K20" t="inlineStr">
        <is>
          <t>Part-Time</t>
        </is>
      </c>
      <c r="L20" t="inlineStr">
        <is>
          <t>Active</t>
        </is>
      </c>
      <c r="M20" t="inlineStr">
        <is>
          <t>No</t>
        </is>
      </c>
    </row>
    <row r="21">
      <c r="A21" t="inlineStr">
        <is>
          <t>E017</t>
        </is>
      </c>
      <c r="B21" s="4" t="n">
        <v>46055</v>
      </c>
      <c r="C21" t="inlineStr">
        <is>
          <t>Employee 17</t>
        </is>
      </c>
      <c r="D21" t="n">
        <v>45</v>
      </c>
      <c r="E21" t="inlineStr">
        <is>
          <t>Marketing</t>
        </is>
      </c>
      <c r="F21" t="inlineStr">
        <is>
          <t>Marketing Executive</t>
        </is>
      </c>
      <c r="G21" t="inlineStr">
        <is>
          <t>Postgraduate</t>
        </is>
      </c>
      <c r="H21" t="inlineStr">
        <is>
          <t>Delhi</t>
        </is>
      </c>
      <c r="I21" t="n">
        <v>6</v>
      </c>
      <c r="J21" s="5" t="n">
        <v>61357</v>
      </c>
      <c r="K21" t="inlineStr">
        <is>
          <t>Full-Time</t>
        </is>
      </c>
      <c r="L21" t="inlineStr">
        <is>
          <t>Active</t>
        </is>
      </c>
      <c r="M21" t="inlineStr">
        <is>
          <t>No</t>
        </is>
      </c>
    </row>
    <row r="22">
      <c r="A22" t="inlineStr">
        <is>
          <t>E018</t>
        </is>
      </c>
      <c r="B22" s="4" t="n">
        <v>45800</v>
      </c>
      <c r="C22" t="inlineStr">
        <is>
          <t>Employee 18</t>
        </is>
      </c>
      <c r="D22" t="n">
        <v>29</v>
      </c>
      <c r="E22" t="inlineStr">
        <is>
          <t>Operations</t>
        </is>
      </c>
      <c r="F22" t="inlineStr">
        <is>
          <t>Operations Executive</t>
        </is>
      </c>
      <c r="G22" t="inlineStr">
        <is>
          <t>Postgraduate</t>
        </is>
      </c>
      <c r="H22" t="inlineStr">
        <is>
          <t>Kolkata</t>
        </is>
      </c>
      <c r="I22" t="n">
        <v>9</v>
      </c>
      <c r="J22" s="5" t="n">
        <v>64970</v>
      </c>
      <c r="K22" t="inlineStr">
        <is>
          <t>Full-Time</t>
        </is>
      </c>
      <c r="L22" t="inlineStr">
        <is>
          <t>On Leave</t>
        </is>
      </c>
      <c r="M22" t="inlineStr">
        <is>
          <t>No</t>
        </is>
      </c>
    </row>
    <row r="23">
      <c r="A23" t="inlineStr">
        <is>
          <t>E019</t>
        </is>
      </c>
      <c r="B23" s="4" t="n">
        <v>46124</v>
      </c>
      <c r="C23" t="inlineStr">
        <is>
          <t>Employee 19</t>
        </is>
      </c>
      <c r="D23" t="n">
        <v>42</v>
      </c>
      <c r="E23" t="inlineStr">
        <is>
          <t>Sales</t>
        </is>
      </c>
      <c r="F23" t="inlineStr">
        <is>
          <t>Sales Executive</t>
        </is>
      </c>
      <c r="G23" t="inlineStr">
        <is>
          <t>Postgraduate</t>
        </is>
      </c>
      <c r="H23" t="inlineStr">
        <is>
          <t>Kolkata</t>
        </is>
      </c>
      <c r="I23" t="n">
        <v>2</v>
      </c>
      <c r="J23" s="5" t="n">
        <v>48218</v>
      </c>
      <c r="K23" t="inlineStr">
        <is>
          <t>Part-Time</t>
        </is>
      </c>
      <c r="L23" t="inlineStr">
        <is>
          <t>Active</t>
        </is>
      </c>
      <c r="M23" t="inlineStr">
        <is>
          <t>No</t>
        </is>
      </c>
    </row>
    <row r="24">
      <c r="A24" t="inlineStr">
        <is>
          <t>E020</t>
        </is>
      </c>
      <c r="B24" s="4" t="n">
        <v>45717</v>
      </c>
      <c r="C24" t="inlineStr">
        <is>
          <t>Employee 20</t>
        </is>
      </c>
      <c r="D24" t="n">
        <v>43</v>
      </c>
      <c r="E24" t="inlineStr">
        <is>
          <t>Finance</t>
        </is>
      </c>
      <c r="F24" t="inlineStr">
        <is>
          <t>Financial Analyst</t>
        </is>
      </c>
      <c r="G24" t="inlineStr">
        <is>
          <t>Postgraduate</t>
        </is>
      </c>
      <c r="H24" t="inlineStr">
        <is>
          <t>Bengaluru</t>
        </is>
      </c>
      <c r="I24" t="n">
        <v>10</v>
      </c>
      <c r="J24" s="5" t="n">
        <v>79678</v>
      </c>
      <c r="K24" t="inlineStr">
        <is>
          <t>Full-Time</t>
        </is>
      </c>
      <c r="L24" t="inlineStr">
        <is>
          <t>On Leave</t>
        </is>
      </c>
      <c r="M24" t="inlineStr">
        <is>
          <t>Yes</t>
        </is>
      </c>
    </row>
    <row r="25">
      <c r="A25" t="inlineStr">
        <is>
          <t>E021</t>
        </is>
      </c>
      <c r="B25" s="4" t="n">
        <v>45760</v>
      </c>
      <c r="C25" t="inlineStr">
        <is>
          <t>Employee 21</t>
        </is>
      </c>
      <c r="D25" t="n">
        <v>21</v>
      </c>
      <c r="E25" t="inlineStr">
        <is>
          <t>Hr</t>
        </is>
      </c>
      <c r="F25" t="inlineStr">
        <is>
          <t>Hr Executive</t>
        </is>
      </c>
      <c r="G25" t="inlineStr">
        <is>
          <t>Graduate</t>
        </is>
      </c>
      <c r="H25" t="inlineStr">
        <is>
          <t>Mumbai</t>
        </is>
      </c>
      <c r="I25" t="n">
        <v>2</v>
      </c>
      <c r="J25" s="5" t="n">
        <v>50764</v>
      </c>
      <c r="K25" t="inlineStr">
        <is>
          <t>Full-Time</t>
        </is>
      </c>
      <c r="L25" t="inlineStr">
        <is>
          <t>On Leave</t>
        </is>
      </c>
      <c r="M25" t="inlineStr">
        <is>
          <t>No</t>
        </is>
      </c>
    </row>
    <row r="26">
      <c r="A26" t="inlineStr">
        <is>
          <t>E022</t>
        </is>
      </c>
      <c r="B26" s="4" t="n">
        <v>46138</v>
      </c>
      <c r="C26" t="inlineStr">
        <is>
          <t>Employee 22</t>
        </is>
      </c>
      <c r="D26" t="n">
        <v>43</v>
      </c>
      <c r="E26" t="inlineStr">
        <is>
          <t>It</t>
        </is>
      </c>
      <c r="F26" t="inlineStr">
        <is>
          <t>Software Analyst</t>
        </is>
      </c>
      <c r="G26" t="inlineStr">
        <is>
          <t>Postgraduate</t>
        </is>
      </c>
      <c r="H26" t="inlineStr">
        <is>
          <t>Bengaluru</t>
        </is>
      </c>
      <c r="I26" t="n">
        <v>7</v>
      </c>
      <c r="J26" s="5" t="n">
        <v>77636</v>
      </c>
      <c r="K26" t="inlineStr">
        <is>
          <t>Part-Time</t>
        </is>
      </c>
      <c r="L26" t="inlineStr">
        <is>
          <t>Active</t>
        </is>
      </c>
      <c r="M26" t="inlineStr">
        <is>
          <t>No</t>
        </is>
      </c>
    </row>
    <row r="27">
      <c r="A27" t="inlineStr">
        <is>
          <t>E023</t>
        </is>
      </c>
      <c r="B27" s="4" t="n">
        <v>46110</v>
      </c>
      <c r="C27" t="inlineStr">
        <is>
          <t>Employee 23</t>
        </is>
      </c>
      <c r="D27" t="n">
        <v>27</v>
      </c>
      <c r="E27" t="inlineStr">
        <is>
          <t>Marketing</t>
        </is>
      </c>
      <c r="F27" t="inlineStr">
        <is>
          <t>Marketing Executive</t>
        </is>
      </c>
      <c r="G27" t="inlineStr">
        <is>
          <t>Graduate</t>
        </is>
      </c>
      <c r="H27" t="inlineStr">
        <is>
          <t>Kolkata</t>
        </is>
      </c>
      <c r="I27" t="n">
        <v>9</v>
      </c>
      <c r="J27" s="5" t="n">
        <v>65660</v>
      </c>
      <c r="K27" t="inlineStr">
        <is>
          <t>Part-Time</t>
        </is>
      </c>
      <c r="L27" t="inlineStr">
        <is>
          <t>Active</t>
        </is>
      </c>
      <c r="M27" t="inlineStr">
        <is>
          <t>No</t>
        </is>
      </c>
    </row>
    <row r="28">
      <c r="A28" t="inlineStr">
        <is>
          <t>E024</t>
        </is>
      </c>
      <c r="B28" s="4" t="n">
        <v>45867</v>
      </c>
      <c r="C28" t="inlineStr">
        <is>
          <t>Employee 24</t>
        </is>
      </c>
      <c r="D28" t="n">
        <v>26</v>
      </c>
      <c r="E28" t="inlineStr">
        <is>
          <t>Operations</t>
        </is>
      </c>
      <c r="F28" t="inlineStr">
        <is>
          <t>Operations Executive</t>
        </is>
      </c>
      <c r="G28" t="inlineStr">
        <is>
          <t>Graduate</t>
        </is>
      </c>
      <c r="H28" t="inlineStr">
        <is>
          <t>Patna</t>
        </is>
      </c>
      <c r="I28" t="n">
        <v>2</v>
      </c>
      <c r="J28" s="5" t="n">
        <v>47002</v>
      </c>
      <c r="K28" t="inlineStr">
        <is>
          <t>Full-Time</t>
        </is>
      </c>
      <c r="L28" t="inlineStr">
        <is>
          <t>Active</t>
        </is>
      </c>
      <c r="M28" t="inlineStr">
        <is>
          <t>No</t>
        </is>
      </c>
    </row>
    <row r="29">
      <c r="A29" t="inlineStr">
        <is>
          <t>E025</t>
        </is>
      </c>
      <c r="B29" s="4" t="n">
        <v>46165</v>
      </c>
      <c r="C29" t="inlineStr">
        <is>
          <t>Employee 25</t>
        </is>
      </c>
      <c r="D29" t="n">
        <v>42</v>
      </c>
      <c r="E29" t="inlineStr">
        <is>
          <t>Sales</t>
        </is>
      </c>
      <c r="F29" t="inlineStr">
        <is>
          <t>Sales Executive</t>
        </is>
      </c>
      <c r="G29" t="inlineStr">
        <is>
          <t>Graduate</t>
        </is>
      </c>
      <c r="H29" t="inlineStr">
        <is>
          <t>Bengaluru</t>
        </is>
      </c>
      <c r="I29" t="n">
        <v>4</v>
      </c>
      <c r="J29" s="5" t="n">
        <v>62888</v>
      </c>
      <c r="K29" t="inlineStr">
        <is>
          <t>Full-Time</t>
        </is>
      </c>
      <c r="L29" t="inlineStr">
        <is>
          <t>Active</t>
        </is>
      </c>
      <c r="M29" t="inlineStr">
        <is>
          <t>No</t>
        </is>
      </c>
    </row>
    <row r="30">
      <c r="A30" t="inlineStr">
        <is>
          <t>E026</t>
        </is>
      </c>
      <c r="B30" s="4" t="n">
        <v>45735</v>
      </c>
      <c r="C30" t="inlineStr">
        <is>
          <t>Employee 26</t>
        </is>
      </c>
      <c r="D30" t="n">
        <v>44</v>
      </c>
      <c r="E30" t="inlineStr">
        <is>
          <t>Finance</t>
        </is>
      </c>
      <c r="F30" t="inlineStr">
        <is>
          <t>Financial Analyst</t>
        </is>
      </c>
      <c r="G30" t="inlineStr">
        <is>
          <t>Postgraduate</t>
        </is>
      </c>
      <c r="H30" t="inlineStr">
        <is>
          <t>Bengaluru</t>
        </is>
      </c>
      <c r="I30" t="n">
        <v>6</v>
      </c>
      <c r="J30" s="5" t="n">
        <v>64238</v>
      </c>
      <c r="K30" t="inlineStr">
        <is>
          <t>Part-Time</t>
        </is>
      </c>
      <c r="L30" t="inlineStr">
        <is>
          <t>Resigned</t>
        </is>
      </c>
      <c r="M30" t="inlineStr">
        <is>
          <t>Yes</t>
        </is>
      </c>
    </row>
    <row r="31">
      <c r="A31" t="inlineStr">
        <is>
          <t>E027</t>
        </is>
      </c>
      <c r="B31" s="4" t="n">
        <v>45950</v>
      </c>
      <c r="C31" t="inlineStr">
        <is>
          <t>Employee 27</t>
        </is>
      </c>
      <c r="D31" t="n">
        <v>23</v>
      </c>
      <c r="E31" t="inlineStr">
        <is>
          <t>Hr</t>
        </is>
      </c>
      <c r="F31" t="inlineStr">
        <is>
          <t>Hr Executive</t>
        </is>
      </c>
      <c r="G31" t="inlineStr">
        <is>
          <t>Postgraduate</t>
        </is>
      </c>
      <c r="H31" t="inlineStr">
        <is>
          <t>Kolkata</t>
        </is>
      </c>
      <c r="I31" t="n">
        <v>18</v>
      </c>
      <c r="J31" s="5" t="n">
        <v>92423</v>
      </c>
      <c r="K31" t="inlineStr">
        <is>
          <t>Full-Time</t>
        </is>
      </c>
      <c r="L31" t="inlineStr">
        <is>
          <t>Active</t>
        </is>
      </c>
      <c r="M31" t="inlineStr">
        <is>
          <t>No</t>
        </is>
      </c>
    </row>
    <row r="32">
      <c r="A32" t="inlineStr">
        <is>
          <t>E028</t>
        </is>
      </c>
      <c r="B32" s="4" t="n">
        <v>45890</v>
      </c>
      <c r="C32" t="inlineStr">
        <is>
          <t>Employee 28</t>
        </is>
      </c>
      <c r="D32" t="n">
        <v>21</v>
      </c>
      <c r="E32" t="inlineStr">
        <is>
          <t>It</t>
        </is>
      </c>
      <c r="F32" t="inlineStr">
        <is>
          <t>Software Analyst</t>
        </is>
      </c>
      <c r="G32" t="inlineStr">
        <is>
          <t>Postgraduate</t>
        </is>
      </c>
      <c r="H32" t="inlineStr">
        <is>
          <t>Delhi</t>
        </is>
      </c>
      <c r="I32" t="n">
        <v>7</v>
      </c>
      <c r="J32" s="5" t="n">
        <v>79969</v>
      </c>
      <c r="K32" t="inlineStr">
        <is>
          <t>Full-Time</t>
        </is>
      </c>
      <c r="L32" t="inlineStr">
        <is>
          <t>Active</t>
        </is>
      </c>
      <c r="M32" t="inlineStr">
        <is>
          <t>No</t>
        </is>
      </c>
    </row>
    <row r="33">
      <c r="A33" t="inlineStr">
        <is>
          <t>E029</t>
        </is>
      </c>
      <c r="B33" s="4" t="n">
        <v>45778</v>
      </c>
      <c r="C33" t="inlineStr">
        <is>
          <t>Employee 29</t>
        </is>
      </c>
      <c r="D33" t="n">
        <v>23</v>
      </c>
      <c r="E33" t="inlineStr">
        <is>
          <t>Marketing</t>
        </is>
      </c>
      <c r="F33" t="inlineStr">
        <is>
          <t>Marketing Executive</t>
        </is>
      </c>
      <c r="G33" t="inlineStr">
        <is>
          <t>Postgraduate</t>
        </is>
      </c>
      <c r="H33" t="inlineStr">
        <is>
          <t>Kolkata</t>
        </is>
      </c>
      <c r="I33" t="n">
        <v>16</v>
      </c>
      <c r="J33" s="5" t="n">
        <v>88475</v>
      </c>
      <c r="K33" t="inlineStr">
        <is>
          <t>Full-Time</t>
        </is>
      </c>
      <c r="L33" t="inlineStr">
        <is>
          <t>Resigned</t>
        </is>
      </c>
      <c r="M33" t="inlineStr">
        <is>
          <t>Yes</t>
        </is>
      </c>
    </row>
    <row r="34">
      <c r="A34" t="inlineStr">
        <is>
          <t>E030</t>
        </is>
      </c>
      <c r="B34" s="4" t="n">
        <v>45715</v>
      </c>
      <c r="C34" t="inlineStr">
        <is>
          <t>Employee 30</t>
        </is>
      </c>
      <c r="D34" t="n">
        <v>26</v>
      </c>
      <c r="E34" t="inlineStr">
        <is>
          <t>Operations</t>
        </is>
      </c>
      <c r="F34" t="inlineStr">
        <is>
          <t>Operations Executive</t>
        </is>
      </c>
      <c r="G34" t="inlineStr">
        <is>
          <t>Graduate</t>
        </is>
      </c>
      <c r="H34" t="inlineStr">
        <is>
          <t>Mumbai</t>
        </is>
      </c>
      <c r="I34" t="n">
        <v>6</v>
      </c>
      <c r="J34" s="5" t="n">
        <v>52721</v>
      </c>
      <c r="K34" t="inlineStr">
        <is>
          <t>Part-Time</t>
        </is>
      </c>
      <c r="L34" t="inlineStr">
        <is>
          <t>Resigned</t>
        </is>
      </c>
      <c r="M34" t="inlineStr">
        <is>
          <t>Yes</t>
        </is>
      </c>
    </row>
    <row r="35">
      <c r="A35" t="inlineStr">
        <is>
          <t>E031</t>
        </is>
      </c>
      <c r="B35" s="4" t="n">
        <v>45674</v>
      </c>
      <c r="C35" t="inlineStr">
        <is>
          <t>Employee 31</t>
        </is>
      </c>
      <c r="D35" t="n">
        <v>45</v>
      </c>
      <c r="E35" t="inlineStr">
        <is>
          <t>Finance</t>
        </is>
      </c>
      <c r="F35" t="inlineStr">
        <is>
          <t>Sales Executive</t>
        </is>
      </c>
      <c r="G35" t="inlineStr">
        <is>
          <t>Postgraduate</t>
        </is>
      </c>
      <c r="H35" t="inlineStr">
        <is>
          <t>Kolkata</t>
        </is>
      </c>
      <c r="I35" t="n">
        <v>17</v>
      </c>
      <c r="J35" s="5" t="n">
        <v>82400</v>
      </c>
      <c r="K35" t="inlineStr">
        <is>
          <t>Part-Time</t>
        </is>
      </c>
      <c r="L35" t="inlineStr">
        <is>
          <t>Active</t>
        </is>
      </c>
      <c r="M35" t="inlineStr">
        <is>
          <t>No</t>
        </is>
      </c>
    </row>
    <row r="36">
      <c r="A36" t="inlineStr">
        <is>
          <t>E032</t>
        </is>
      </c>
      <c r="B36" s="4" t="n">
        <v>46020</v>
      </c>
      <c r="C36" t="inlineStr">
        <is>
          <t>Employee 32</t>
        </is>
      </c>
      <c r="D36" t="n">
        <v>23</v>
      </c>
      <c r="E36" t="inlineStr">
        <is>
          <t>Finance</t>
        </is>
      </c>
      <c r="F36" t="inlineStr">
        <is>
          <t>Financial Analyst</t>
        </is>
      </c>
      <c r="G36" t="inlineStr">
        <is>
          <t>Postgraduate</t>
        </is>
      </c>
      <c r="H36" t="inlineStr">
        <is>
          <t>Delhi</t>
        </is>
      </c>
      <c r="I36" t="n">
        <v>11</v>
      </c>
      <c r="J36" s="5" t="n">
        <v>73307</v>
      </c>
      <c r="K36" t="inlineStr">
        <is>
          <t>Full-Time</t>
        </is>
      </c>
      <c r="L36" t="inlineStr">
        <is>
          <t>Active</t>
        </is>
      </c>
      <c r="M36" t="inlineStr">
        <is>
          <t>No</t>
        </is>
      </c>
    </row>
    <row r="37">
      <c r="A37" t="inlineStr">
        <is>
          <t>E033</t>
        </is>
      </c>
      <c r="B37" s="4" t="n">
        <v>45874</v>
      </c>
      <c r="C37" t="inlineStr">
        <is>
          <t>Employee 33</t>
        </is>
      </c>
      <c r="D37" t="n">
        <v>39</v>
      </c>
      <c r="E37" t="inlineStr">
        <is>
          <t>Hr</t>
        </is>
      </c>
      <c r="F37" t="inlineStr">
        <is>
          <t>Hr Executive</t>
        </is>
      </c>
      <c r="G37" t="inlineStr">
        <is>
          <t>Postgraduate</t>
        </is>
      </c>
      <c r="H37" t="inlineStr">
        <is>
          <t>Delhi</t>
        </is>
      </c>
      <c r="I37" t="n">
        <v>17</v>
      </c>
      <c r="J37" s="5" t="n">
        <v>86377</v>
      </c>
      <c r="K37" t="inlineStr">
        <is>
          <t>Full-Time</t>
        </is>
      </c>
      <c r="L37" t="inlineStr">
        <is>
          <t>Active</t>
        </is>
      </c>
      <c r="M37" t="inlineStr">
        <is>
          <t>No</t>
        </is>
      </c>
    </row>
    <row r="38">
      <c r="A38" t="inlineStr">
        <is>
          <t>E034</t>
        </is>
      </c>
      <c r="B38" s="4" t="n">
        <v>45861</v>
      </c>
      <c r="C38" t="inlineStr">
        <is>
          <t>Employee 34</t>
        </is>
      </c>
      <c r="D38" t="n">
        <v>23</v>
      </c>
      <c r="E38" t="inlineStr">
        <is>
          <t>It</t>
        </is>
      </c>
      <c r="F38" t="inlineStr">
        <is>
          <t>Software Analyst</t>
        </is>
      </c>
      <c r="G38" t="inlineStr">
        <is>
          <t>Graduate</t>
        </is>
      </c>
      <c r="H38" t="inlineStr">
        <is>
          <t>Mumbai</t>
        </is>
      </c>
      <c r="I38" t="n">
        <v>2</v>
      </c>
      <c r="J38" s="5" t="n">
        <v>95899</v>
      </c>
      <c r="K38" t="inlineStr">
        <is>
          <t>Part-Time</t>
        </is>
      </c>
      <c r="L38" t="inlineStr">
        <is>
          <t>Active</t>
        </is>
      </c>
      <c r="M38" t="inlineStr">
        <is>
          <t>No</t>
        </is>
      </c>
    </row>
    <row r="39">
      <c r="A39" t="inlineStr">
        <is>
          <t>E035</t>
        </is>
      </c>
      <c r="B39" s="4" t="n">
        <v>45842</v>
      </c>
      <c r="C39" t="inlineStr">
        <is>
          <t>Employee 35</t>
        </is>
      </c>
      <c r="D39" t="n">
        <v>22</v>
      </c>
      <c r="E39" t="inlineStr">
        <is>
          <t>Marketing</t>
        </is>
      </c>
      <c r="F39" t="inlineStr">
        <is>
          <t>Marketing Executive</t>
        </is>
      </c>
      <c r="G39" t="inlineStr">
        <is>
          <t>Postgraduate</t>
        </is>
      </c>
      <c r="H39" t="inlineStr">
        <is>
          <t>Delhi</t>
        </is>
      </c>
      <c r="I39" t="n">
        <v>14</v>
      </c>
      <c r="J39" s="5" t="n">
        <v>84486</v>
      </c>
      <c r="K39" t="inlineStr">
        <is>
          <t>Full-Time</t>
        </is>
      </c>
      <c r="L39" t="inlineStr">
        <is>
          <t>Active</t>
        </is>
      </c>
      <c r="M39" t="inlineStr">
        <is>
          <t>No</t>
        </is>
      </c>
    </row>
    <row r="40">
      <c r="A40" t="inlineStr">
        <is>
          <t>E036</t>
        </is>
      </c>
      <c r="B40" s="4" t="n">
        <v>45972</v>
      </c>
      <c r="C40" t="inlineStr">
        <is>
          <t>Employee 36</t>
        </is>
      </c>
      <c r="D40" t="n">
        <v>23</v>
      </c>
      <c r="E40" t="inlineStr">
        <is>
          <t>Operations</t>
        </is>
      </c>
      <c r="F40" t="inlineStr">
        <is>
          <t>Operations Executive</t>
        </is>
      </c>
      <c r="G40" t="inlineStr">
        <is>
          <t>Postgraduate</t>
        </is>
      </c>
      <c r="H40" t="inlineStr">
        <is>
          <t>Bengaluru</t>
        </is>
      </c>
      <c r="I40" t="n">
        <v>4</v>
      </c>
      <c r="J40" s="5" t="n">
        <v>46866</v>
      </c>
      <c r="K40" t="inlineStr">
        <is>
          <t>Full-Time</t>
        </is>
      </c>
      <c r="L40" t="inlineStr">
        <is>
          <t>On Leave</t>
        </is>
      </c>
      <c r="M40" t="inlineStr">
        <is>
          <t>No</t>
        </is>
      </c>
    </row>
    <row r="41">
      <c r="A41" t="inlineStr">
        <is>
          <t>E037</t>
        </is>
      </c>
      <c r="B41" s="4" t="n">
        <v>46063</v>
      </c>
      <c r="C41" t="inlineStr">
        <is>
          <t>Employee 37</t>
        </is>
      </c>
      <c r="D41" t="n">
        <v>41</v>
      </c>
      <c r="E41" t="inlineStr">
        <is>
          <t>Sales</t>
        </is>
      </c>
      <c r="F41" t="inlineStr">
        <is>
          <t>Sales Executive</t>
        </is>
      </c>
      <c r="G41" t="inlineStr">
        <is>
          <t>Postgraduate</t>
        </is>
      </c>
      <c r="H41" t="inlineStr">
        <is>
          <t>Bengaluru</t>
        </is>
      </c>
      <c r="I41" t="n">
        <v>9</v>
      </c>
      <c r="J41" s="5" t="n">
        <v>61642</v>
      </c>
      <c r="K41" t="inlineStr">
        <is>
          <t>Full-Time</t>
        </is>
      </c>
      <c r="L41" t="inlineStr">
        <is>
          <t>On Leave</t>
        </is>
      </c>
      <c r="M41" t="inlineStr">
        <is>
          <t>No</t>
        </is>
      </c>
    </row>
    <row r="42">
      <c r="A42" t="inlineStr">
        <is>
          <t>E038</t>
        </is>
      </c>
      <c r="B42" s="4" t="n">
        <v>45794</v>
      </c>
      <c r="C42" t="inlineStr">
        <is>
          <t>Employee 38</t>
        </is>
      </c>
      <c r="D42" t="n">
        <v>33</v>
      </c>
      <c r="E42" t="inlineStr">
        <is>
          <t>Finance</t>
        </is>
      </c>
      <c r="F42" t="inlineStr">
        <is>
          <t>Financial Analyst</t>
        </is>
      </c>
      <c r="G42" t="inlineStr">
        <is>
          <t>Postgraduate</t>
        </is>
      </c>
      <c r="H42" t="inlineStr">
        <is>
          <t>Mumbai</t>
        </is>
      </c>
      <c r="I42" t="n">
        <v>7</v>
      </c>
      <c r="J42" s="5" t="n">
        <v>65254</v>
      </c>
      <c r="K42" t="inlineStr">
        <is>
          <t>Full-Time</t>
        </is>
      </c>
      <c r="L42" t="inlineStr">
        <is>
          <t>On Leave</t>
        </is>
      </c>
      <c r="M42" t="inlineStr">
        <is>
          <t>No</t>
        </is>
      </c>
    </row>
    <row r="43">
      <c r="A43" t="inlineStr">
        <is>
          <t>E039</t>
        </is>
      </c>
      <c r="B43" s="4" t="n">
        <v>45954</v>
      </c>
      <c r="C43" t="inlineStr">
        <is>
          <t>Employee 39</t>
        </is>
      </c>
      <c r="D43" t="n">
        <v>31</v>
      </c>
      <c r="E43" t="inlineStr">
        <is>
          <t>Hr</t>
        </is>
      </c>
      <c r="F43" t="inlineStr">
        <is>
          <t>Hr Executive</t>
        </is>
      </c>
      <c r="G43" t="inlineStr">
        <is>
          <t>Graduate</t>
        </is>
      </c>
      <c r="H43" t="inlineStr">
        <is>
          <t>Kolkata</t>
        </is>
      </c>
      <c r="I43" t="n">
        <v>17</v>
      </c>
      <c r="J43" s="5" t="n">
        <v>82187</v>
      </c>
      <c r="K43" t="inlineStr">
        <is>
          <t>Full-Time</t>
        </is>
      </c>
      <c r="L43" t="inlineStr">
        <is>
          <t>Resigned</t>
        </is>
      </c>
      <c r="M43" t="inlineStr">
        <is>
          <t>Yes</t>
        </is>
      </c>
    </row>
    <row r="44">
      <c r="A44" t="inlineStr">
        <is>
          <t>E040</t>
        </is>
      </c>
      <c r="B44" s="4" t="n">
        <v>46047</v>
      </c>
      <c r="C44" t="inlineStr">
        <is>
          <t>Employee 40</t>
        </is>
      </c>
      <c r="D44" t="n">
        <v>40</v>
      </c>
      <c r="E44" t="inlineStr">
        <is>
          <t>It</t>
        </is>
      </c>
      <c r="F44" t="inlineStr">
        <is>
          <t>Software Analyst</t>
        </is>
      </c>
      <c r="G44" t="inlineStr">
        <is>
          <t>Postgraduate</t>
        </is>
      </c>
      <c r="H44" t="inlineStr">
        <is>
          <t>Patna</t>
        </is>
      </c>
      <c r="I44" t="n">
        <v>0</v>
      </c>
      <c r="J44" s="5" t="n">
        <v>63592</v>
      </c>
      <c r="K44" t="inlineStr">
        <is>
          <t>Full-Time</t>
        </is>
      </c>
      <c r="L44" t="inlineStr">
        <is>
          <t>Active</t>
        </is>
      </c>
      <c r="M44" t="inlineStr">
        <is>
          <t>No</t>
        </is>
      </c>
    </row>
    <row r="45">
      <c r="A45" t="inlineStr">
        <is>
          <t>E041</t>
        </is>
      </c>
      <c r="B45" s="4" t="n">
        <v>45777</v>
      </c>
      <c r="C45" t="inlineStr">
        <is>
          <t>Employee 41</t>
        </is>
      </c>
      <c r="D45" t="n">
        <v>27</v>
      </c>
      <c r="E45" t="inlineStr">
        <is>
          <t>Marketing</t>
        </is>
      </c>
      <c r="F45" t="inlineStr">
        <is>
          <t>Marketing Executive</t>
        </is>
      </c>
      <c r="G45" t="inlineStr">
        <is>
          <t>Graduate</t>
        </is>
      </c>
      <c r="H45" t="inlineStr">
        <is>
          <t>Kolkata</t>
        </is>
      </c>
      <c r="I45" t="n">
        <v>1</v>
      </c>
      <c r="J45" s="5" t="n">
        <v>47117</v>
      </c>
      <c r="K45" t="inlineStr">
        <is>
          <t>Part-Time</t>
        </is>
      </c>
      <c r="L45" t="inlineStr">
        <is>
          <t>Active</t>
        </is>
      </c>
      <c r="M45" t="inlineStr">
        <is>
          <t>No</t>
        </is>
      </c>
    </row>
    <row r="46">
      <c r="A46" t="inlineStr">
        <is>
          <t>E042</t>
        </is>
      </c>
      <c r="B46" s="4" t="n">
        <v>45799</v>
      </c>
      <c r="C46" t="inlineStr">
        <is>
          <t>Employee 42</t>
        </is>
      </c>
      <c r="D46" t="n">
        <v>29</v>
      </c>
      <c r="E46" t="inlineStr">
        <is>
          <t>Operations</t>
        </is>
      </c>
      <c r="F46" t="inlineStr">
        <is>
          <t>Operations Executive</t>
        </is>
      </c>
      <c r="G46" t="inlineStr">
        <is>
          <t>Postgraduate</t>
        </is>
      </c>
      <c r="H46" t="inlineStr">
        <is>
          <t>Bengaluru</t>
        </is>
      </c>
      <c r="I46" t="n">
        <v>9</v>
      </c>
      <c r="J46" s="5" t="n">
        <v>48000</v>
      </c>
      <c r="K46" t="inlineStr">
        <is>
          <t>Full-Time</t>
        </is>
      </c>
      <c r="L46" t="inlineStr">
        <is>
          <t>Active</t>
        </is>
      </c>
      <c r="M46" t="inlineStr">
        <is>
          <t>No</t>
        </is>
      </c>
    </row>
    <row r="47">
      <c r="A47" t="inlineStr">
        <is>
          <t>E043</t>
        </is>
      </c>
      <c r="B47" s="4" t="n">
        <v>45985</v>
      </c>
      <c r="C47" t="inlineStr">
        <is>
          <t>Employee 43</t>
        </is>
      </c>
      <c r="D47" t="n">
        <v>30</v>
      </c>
      <c r="E47" t="inlineStr">
        <is>
          <t>Sales</t>
        </is>
      </c>
      <c r="F47" t="inlineStr">
        <is>
          <t>Sales Executive</t>
        </is>
      </c>
      <c r="G47" t="inlineStr">
        <is>
          <t>Postgraduate</t>
        </is>
      </c>
      <c r="H47" t="inlineStr">
        <is>
          <t>Mumbai</t>
        </is>
      </c>
      <c r="I47" t="n">
        <v>0</v>
      </c>
      <c r="J47" s="5" t="n">
        <v>41191</v>
      </c>
      <c r="K47" t="inlineStr">
        <is>
          <t>Full-Time</t>
        </is>
      </c>
      <c r="L47" t="inlineStr">
        <is>
          <t>Active</t>
        </is>
      </c>
      <c r="M47" t="inlineStr">
        <is>
          <t>No</t>
        </is>
      </c>
    </row>
    <row r="48">
      <c r="A48" t="inlineStr">
        <is>
          <t>E044</t>
        </is>
      </c>
      <c r="B48" s="4" t="n">
        <v>45671</v>
      </c>
      <c r="C48" t="inlineStr">
        <is>
          <t>Employee 44</t>
        </is>
      </c>
      <c r="D48" t="n">
        <v>22</v>
      </c>
      <c r="E48" t="inlineStr">
        <is>
          <t>Finance</t>
        </is>
      </c>
      <c r="F48" t="inlineStr">
        <is>
          <t>Financial Analyst</t>
        </is>
      </c>
      <c r="G48" t="inlineStr">
        <is>
          <t>Postgraduate</t>
        </is>
      </c>
      <c r="H48" t="inlineStr">
        <is>
          <t>Mumbai</t>
        </is>
      </c>
      <c r="I48" t="n">
        <v>8</v>
      </c>
      <c r="J48" s="5" t="n">
        <v>65046</v>
      </c>
      <c r="K48" t="inlineStr">
        <is>
          <t>Full-Time</t>
        </is>
      </c>
      <c r="L48" t="inlineStr">
        <is>
          <t>Active</t>
        </is>
      </c>
      <c r="M48" t="inlineStr">
        <is>
          <t>No</t>
        </is>
      </c>
    </row>
    <row r="49">
      <c r="A49" t="inlineStr">
        <is>
          <t>E045</t>
        </is>
      </c>
      <c r="B49" s="4" t="n">
        <v>45995</v>
      </c>
      <c r="C49" t="inlineStr">
        <is>
          <t>Employee 45</t>
        </is>
      </c>
      <c r="D49" t="n">
        <v>21</v>
      </c>
      <c r="E49" t="inlineStr">
        <is>
          <t>Hr</t>
        </is>
      </c>
      <c r="F49" t="inlineStr">
        <is>
          <t>Hr Executive</t>
        </is>
      </c>
      <c r="G49" t="inlineStr">
        <is>
          <t>Graduate</t>
        </is>
      </c>
      <c r="H49" t="inlineStr">
        <is>
          <t>Bengaluru</t>
        </is>
      </c>
      <c r="I49" t="n">
        <v>0</v>
      </c>
      <c r="J49" s="5" t="n">
        <v>46372</v>
      </c>
      <c r="K49" t="inlineStr">
        <is>
          <t>Part-Time</t>
        </is>
      </c>
      <c r="L49" t="inlineStr">
        <is>
          <t>Resigned</t>
        </is>
      </c>
      <c r="M49" t="inlineStr">
        <is>
          <t>Yes</t>
        </is>
      </c>
    </row>
    <row r="50">
      <c r="A50" t="inlineStr">
        <is>
          <t>E046</t>
        </is>
      </c>
      <c r="B50" s="4" t="n">
        <v>46075</v>
      </c>
      <c r="C50" t="inlineStr">
        <is>
          <t>Employee 46</t>
        </is>
      </c>
      <c r="D50" t="n">
        <v>30</v>
      </c>
      <c r="E50" t="inlineStr">
        <is>
          <t>It</t>
        </is>
      </c>
      <c r="F50" t="inlineStr">
        <is>
          <t>Software Analyst</t>
        </is>
      </c>
      <c r="G50" t="inlineStr">
        <is>
          <t>Graduate</t>
        </is>
      </c>
      <c r="H50" t="inlineStr">
        <is>
          <t>Bengaluru</t>
        </is>
      </c>
      <c r="I50" t="n">
        <v>11</v>
      </c>
      <c r="J50" s="5" t="n">
        <v>89270</v>
      </c>
      <c r="K50" t="inlineStr">
        <is>
          <t>Part-Time</t>
        </is>
      </c>
      <c r="L50" t="inlineStr">
        <is>
          <t>Active</t>
        </is>
      </c>
      <c r="M50" t="inlineStr">
        <is>
          <t>No</t>
        </is>
      </c>
    </row>
    <row r="51">
      <c r="A51" t="inlineStr">
        <is>
          <t>E047</t>
        </is>
      </c>
      <c r="B51" s="4" t="n">
        <v>45695</v>
      </c>
      <c r="C51" t="inlineStr">
        <is>
          <t>Employee 47</t>
        </is>
      </c>
      <c r="D51" t="n">
        <v>44</v>
      </c>
      <c r="E51" t="inlineStr">
        <is>
          <t>Marketing</t>
        </is>
      </c>
      <c r="F51" t="inlineStr">
        <is>
          <t>Marketing Executive</t>
        </is>
      </c>
      <c r="G51" t="inlineStr">
        <is>
          <t>Postgraduate</t>
        </is>
      </c>
      <c r="H51" t="inlineStr">
        <is>
          <t>Patna</t>
        </is>
      </c>
      <c r="I51" t="n">
        <v>14</v>
      </c>
      <c r="J51" s="5" t="n">
        <v>82705</v>
      </c>
      <c r="K51" t="inlineStr">
        <is>
          <t>Part-Time</t>
        </is>
      </c>
      <c r="L51" t="inlineStr">
        <is>
          <t>On Leave</t>
        </is>
      </c>
      <c r="M51" t="inlineStr">
        <is>
          <t>No</t>
        </is>
      </c>
    </row>
    <row r="52">
      <c r="A52" t="inlineStr">
        <is>
          <t>E048</t>
        </is>
      </c>
      <c r="B52" s="4" t="n">
        <v>45935</v>
      </c>
      <c r="C52" t="inlineStr">
        <is>
          <t>Employee 48</t>
        </is>
      </c>
      <c r="D52" t="n">
        <v>28</v>
      </c>
      <c r="E52" t="inlineStr">
        <is>
          <t>Operations</t>
        </is>
      </c>
      <c r="F52" t="inlineStr">
        <is>
          <t>Operations Executive</t>
        </is>
      </c>
      <c r="G52" t="inlineStr">
        <is>
          <t>Postgraduate</t>
        </is>
      </c>
      <c r="H52" t="inlineStr">
        <is>
          <t>Kolkata</t>
        </is>
      </c>
      <c r="I52" t="n">
        <v>6</v>
      </c>
      <c r="J52" s="5" t="n">
        <v>58438</v>
      </c>
      <c r="K52" t="inlineStr">
        <is>
          <t>Full-Time</t>
        </is>
      </c>
      <c r="L52" t="inlineStr">
        <is>
          <t>Active</t>
        </is>
      </c>
      <c r="M52" t="inlineStr">
        <is>
          <t>No</t>
        </is>
      </c>
    </row>
    <row r="53">
      <c r="A53" t="inlineStr">
        <is>
          <t>E049</t>
        </is>
      </c>
      <c r="B53" s="4" t="n">
        <v>45905</v>
      </c>
      <c r="C53" t="inlineStr">
        <is>
          <t>Employee 49</t>
        </is>
      </c>
      <c r="D53" t="n">
        <v>27</v>
      </c>
      <c r="E53" t="inlineStr">
        <is>
          <t>Sales</t>
        </is>
      </c>
      <c r="F53" t="inlineStr">
        <is>
          <t>Sales Executive</t>
        </is>
      </c>
      <c r="G53" t="inlineStr">
        <is>
          <t>Postgraduate</t>
        </is>
      </c>
      <c r="H53" t="inlineStr">
        <is>
          <t>Bengaluru</t>
        </is>
      </c>
      <c r="I53" t="n">
        <v>14</v>
      </c>
      <c r="J53" s="5" t="n">
        <v>81164</v>
      </c>
      <c r="K53" t="inlineStr">
        <is>
          <t>Part-Time</t>
        </is>
      </c>
      <c r="L53" t="inlineStr">
        <is>
          <t>On Leave</t>
        </is>
      </c>
      <c r="M53" t="inlineStr">
        <is>
          <t>No</t>
        </is>
      </c>
    </row>
    <row r="54">
      <c r="A54" t="inlineStr">
        <is>
          <t>E050</t>
        </is>
      </c>
      <c r="B54" s="4" t="n">
        <v>46173</v>
      </c>
      <c r="C54" t="inlineStr">
        <is>
          <t>Employee 50</t>
        </is>
      </c>
      <c r="D54" t="n">
        <v>30</v>
      </c>
      <c r="E54" t="inlineStr">
        <is>
          <t>Finance</t>
        </is>
      </c>
      <c r="F54" t="inlineStr">
        <is>
          <t>Financial Analyst</t>
        </is>
      </c>
      <c r="G54" t="inlineStr">
        <is>
          <t>Postgraduate</t>
        </is>
      </c>
      <c r="H54" t="inlineStr">
        <is>
          <t>Patna</t>
        </is>
      </c>
      <c r="I54" t="n">
        <v>9</v>
      </c>
      <c r="J54" s="5" t="n">
        <v>70438</v>
      </c>
      <c r="K54" t="inlineStr">
        <is>
          <t>Full-Time</t>
        </is>
      </c>
      <c r="L54" t="inlineStr">
        <is>
          <t>Active</t>
        </is>
      </c>
      <c r="M54" t="inlineStr">
        <is>
          <t>No</t>
        </is>
      </c>
    </row>
    <row r="55">
      <c r="A55" t="inlineStr">
        <is>
          <t>E051</t>
        </is>
      </c>
      <c r="B55" s="4" t="n">
        <v>45829</v>
      </c>
      <c r="C55" t="inlineStr">
        <is>
          <t>Employee 51</t>
        </is>
      </c>
      <c r="D55" t="n">
        <v>36</v>
      </c>
      <c r="E55" t="inlineStr">
        <is>
          <t>Hr</t>
        </is>
      </c>
      <c r="F55" t="inlineStr">
        <is>
          <t>Hr Executive</t>
        </is>
      </c>
      <c r="G55" t="inlineStr">
        <is>
          <t>Graduate</t>
        </is>
      </c>
      <c r="H55" t="inlineStr">
        <is>
          <t>Delhi</t>
        </is>
      </c>
      <c r="I55" t="n">
        <v>6</v>
      </c>
      <c r="J55" s="5" t="n">
        <v>62706</v>
      </c>
      <c r="K55" t="inlineStr">
        <is>
          <t>Full-Time</t>
        </is>
      </c>
      <c r="L55" t="inlineStr">
        <is>
          <t>Active</t>
        </is>
      </c>
      <c r="M55" t="inlineStr">
        <is>
          <t>No</t>
        </is>
      </c>
    </row>
    <row r="56">
      <c r="A56" t="inlineStr">
        <is>
          <t>E052</t>
        </is>
      </c>
      <c r="B56" s="4" t="n">
        <v>45986</v>
      </c>
      <c r="C56" t="inlineStr">
        <is>
          <t>Employee 52</t>
        </is>
      </c>
      <c r="D56" t="n">
        <v>27</v>
      </c>
      <c r="E56" t="inlineStr">
        <is>
          <t>It</t>
        </is>
      </c>
      <c r="F56" t="inlineStr">
        <is>
          <t>Software Analyst</t>
        </is>
      </c>
      <c r="G56" t="inlineStr">
        <is>
          <t>Graduate</t>
        </is>
      </c>
      <c r="H56" t="inlineStr">
        <is>
          <t>Mumbai</t>
        </is>
      </c>
      <c r="I56" t="n">
        <v>2</v>
      </c>
      <c r="J56" s="5" t="n">
        <v>65853</v>
      </c>
      <c r="K56" t="inlineStr">
        <is>
          <t>Full-Time</t>
        </is>
      </c>
      <c r="L56" t="inlineStr">
        <is>
          <t>Active</t>
        </is>
      </c>
      <c r="M56" t="inlineStr">
        <is>
          <t>No</t>
        </is>
      </c>
    </row>
    <row r="57">
      <c r="A57" t="inlineStr">
        <is>
          <t>E053</t>
        </is>
      </c>
      <c r="B57" s="4" t="n">
        <v>45759</v>
      </c>
      <c r="C57" t="inlineStr">
        <is>
          <t>Employee 53</t>
        </is>
      </c>
      <c r="D57" t="n">
        <v>39</v>
      </c>
      <c r="E57" t="inlineStr">
        <is>
          <t>Marketing</t>
        </is>
      </c>
      <c r="F57" t="inlineStr">
        <is>
          <t>Marketing Executive</t>
        </is>
      </c>
      <c r="G57" t="inlineStr">
        <is>
          <t>Postgraduate</t>
        </is>
      </c>
      <c r="H57" t="inlineStr">
        <is>
          <t>Mumbai</t>
        </is>
      </c>
      <c r="I57" t="n">
        <v>1</v>
      </c>
      <c r="J57" s="5" t="n">
        <v>51727</v>
      </c>
      <c r="K57" t="inlineStr">
        <is>
          <t>Part-Time</t>
        </is>
      </c>
      <c r="L57" t="inlineStr">
        <is>
          <t>On Leave</t>
        </is>
      </c>
      <c r="M57" t="inlineStr">
        <is>
          <t>No</t>
        </is>
      </c>
    </row>
    <row r="58">
      <c r="A58" t="inlineStr">
        <is>
          <t>E054</t>
        </is>
      </c>
      <c r="B58" s="4" t="n">
        <v>45737</v>
      </c>
      <c r="C58" t="inlineStr">
        <is>
          <t>Employee 54</t>
        </is>
      </c>
      <c r="D58" t="n">
        <v>42</v>
      </c>
      <c r="E58" t="inlineStr">
        <is>
          <t>Operations</t>
        </is>
      </c>
      <c r="F58" t="inlineStr">
        <is>
          <t>Operations Executive</t>
        </is>
      </c>
      <c r="G58" t="inlineStr">
        <is>
          <t>Graduate</t>
        </is>
      </c>
      <c r="H58" t="inlineStr">
        <is>
          <t>Patna</t>
        </is>
      </c>
      <c r="I58" t="n">
        <v>12</v>
      </c>
      <c r="J58" s="5" t="n">
        <v>68953</v>
      </c>
      <c r="K58" t="inlineStr">
        <is>
          <t>Full-Time</t>
        </is>
      </c>
      <c r="L58" t="inlineStr">
        <is>
          <t>Active</t>
        </is>
      </c>
      <c r="M58" t="inlineStr">
        <is>
          <t>No</t>
        </is>
      </c>
    </row>
    <row r="59">
      <c r="A59" t="inlineStr">
        <is>
          <t>E055</t>
        </is>
      </c>
      <c r="B59" s="4" t="n">
        <v>46118</v>
      </c>
      <c r="C59" t="inlineStr">
        <is>
          <t>Employee 55</t>
        </is>
      </c>
      <c r="D59" t="n">
        <v>28</v>
      </c>
      <c r="E59" t="inlineStr">
        <is>
          <t>Sales</t>
        </is>
      </c>
      <c r="F59" t="inlineStr">
        <is>
          <t>Sales Executive</t>
        </is>
      </c>
      <c r="G59" t="inlineStr">
        <is>
          <t>Postgraduate</t>
        </is>
      </c>
      <c r="H59" t="inlineStr">
        <is>
          <t>Mumbai</t>
        </is>
      </c>
      <c r="I59" t="n">
        <v>8</v>
      </c>
      <c r="J59" s="5" t="n">
        <v>60408</v>
      </c>
      <c r="K59" t="inlineStr">
        <is>
          <t>Full-Time</t>
        </is>
      </c>
      <c r="L59" t="inlineStr">
        <is>
          <t>Resigned</t>
        </is>
      </c>
      <c r="M59" t="inlineStr">
        <is>
          <t>Yes</t>
        </is>
      </c>
    </row>
    <row r="60">
      <c r="A60" t="inlineStr">
        <is>
          <t>E056</t>
        </is>
      </c>
      <c r="B60" s="4" t="n">
        <v>45953</v>
      </c>
      <c r="C60" t="inlineStr">
        <is>
          <t>Employee 56</t>
        </is>
      </c>
      <c r="D60" t="n">
        <v>35</v>
      </c>
      <c r="E60" t="inlineStr">
        <is>
          <t>Finance</t>
        </is>
      </c>
      <c r="F60" t="inlineStr">
        <is>
          <t>Financial Analyst</t>
        </is>
      </c>
      <c r="G60" t="inlineStr">
        <is>
          <t>Graduate</t>
        </is>
      </c>
      <c r="H60" t="inlineStr">
        <is>
          <t>Delhi</t>
        </is>
      </c>
      <c r="I60" t="n">
        <v>18</v>
      </c>
      <c r="J60" s="5" t="n">
        <v>99100</v>
      </c>
      <c r="K60" t="inlineStr">
        <is>
          <t>Part-Time</t>
        </is>
      </c>
      <c r="L60" t="inlineStr">
        <is>
          <t>Active</t>
        </is>
      </c>
      <c r="M60" t="inlineStr">
        <is>
          <t>No</t>
        </is>
      </c>
    </row>
    <row r="61">
      <c r="A61" t="inlineStr">
        <is>
          <t>E057</t>
        </is>
      </c>
      <c r="B61" s="4" t="n">
        <v>46096</v>
      </c>
      <c r="C61" t="inlineStr">
        <is>
          <t>Employee 57</t>
        </is>
      </c>
      <c r="D61" t="n">
        <v>44</v>
      </c>
      <c r="E61" t="inlineStr">
        <is>
          <t>Hr</t>
        </is>
      </c>
      <c r="F61" t="inlineStr">
        <is>
          <t>Hr Executive</t>
        </is>
      </c>
      <c r="G61" t="inlineStr">
        <is>
          <t>Graduate</t>
        </is>
      </c>
      <c r="H61" t="inlineStr">
        <is>
          <t>Bengaluru</t>
        </is>
      </c>
      <c r="I61" t="n">
        <v>12</v>
      </c>
      <c r="J61" s="5" t="n">
        <v>77622</v>
      </c>
      <c r="K61" t="inlineStr">
        <is>
          <t>Part-Time</t>
        </is>
      </c>
      <c r="L61" t="inlineStr">
        <is>
          <t>On Leave</t>
        </is>
      </c>
      <c r="M61" t="inlineStr">
        <is>
          <t>No</t>
        </is>
      </c>
    </row>
    <row r="62">
      <c r="A62" t="inlineStr">
        <is>
          <t>E058</t>
        </is>
      </c>
      <c r="B62" s="4" t="n">
        <v>45724</v>
      </c>
      <c r="C62" t="inlineStr">
        <is>
          <t>Employee 58</t>
        </is>
      </c>
      <c r="D62" t="n">
        <v>43</v>
      </c>
      <c r="E62" t="inlineStr">
        <is>
          <t>It</t>
        </is>
      </c>
      <c r="F62" t="inlineStr">
        <is>
          <t>Software Analyst</t>
        </is>
      </c>
      <c r="G62" t="inlineStr">
        <is>
          <t>Graduate</t>
        </is>
      </c>
      <c r="H62" t="inlineStr">
        <is>
          <t>Patna</t>
        </is>
      </c>
      <c r="I62" t="n">
        <v>2</v>
      </c>
      <c r="J62" s="5" t="n">
        <v>74550</v>
      </c>
      <c r="K62" t="inlineStr">
        <is>
          <t>Full-Time</t>
        </is>
      </c>
      <c r="L62" t="inlineStr">
        <is>
          <t>Resigned</t>
        </is>
      </c>
      <c r="M62" t="inlineStr">
        <is>
          <t>Yes</t>
        </is>
      </c>
    </row>
    <row r="63">
      <c r="A63" t="inlineStr">
        <is>
          <t>E059</t>
        </is>
      </c>
      <c r="B63" s="4" t="n">
        <v>45903</v>
      </c>
      <c r="C63" t="inlineStr">
        <is>
          <t>Employee 59</t>
        </is>
      </c>
      <c r="D63" t="n">
        <v>24</v>
      </c>
      <c r="E63" t="inlineStr">
        <is>
          <t>Marketing</t>
        </is>
      </c>
      <c r="F63" t="inlineStr">
        <is>
          <t>Marketing Executive</t>
        </is>
      </c>
      <c r="G63" t="inlineStr">
        <is>
          <t>Graduate</t>
        </is>
      </c>
      <c r="H63" t="inlineStr">
        <is>
          <t>Delhi</t>
        </is>
      </c>
      <c r="I63" t="n">
        <v>9</v>
      </c>
      <c r="J63" s="5" t="n">
        <v>72763</v>
      </c>
      <c r="K63" t="inlineStr">
        <is>
          <t>Full-Time</t>
        </is>
      </c>
      <c r="L63" t="inlineStr">
        <is>
          <t>Resigned</t>
        </is>
      </c>
      <c r="M63" t="inlineStr">
        <is>
          <t>Yes</t>
        </is>
      </c>
    </row>
    <row r="64">
      <c r="A64" t="inlineStr">
        <is>
          <t>E060</t>
        </is>
      </c>
      <c r="B64" s="4" t="n">
        <v>46038</v>
      </c>
      <c r="C64" t="inlineStr">
        <is>
          <t>Employee 60</t>
        </is>
      </c>
      <c r="D64" t="n">
        <v>26</v>
      </c>
      <c r="E64" t="inlineStr">
        <is>
          <t>Operations</t>
        </is>
      </c>
      <c r="F64" t="inlineStr">
        <is>
          <t>Operations Executive</t>
        </is>
      </c>
      <c r="G64" t="inlineStr">
        <is>
          <t>Graduate</t>
        </is>
      </c>
      <c r="H64" t="inlineStr">
        <is>
          <t>Kolkata</t>
        </is>
      </c>
      <c r="I64" t="n">
        <v>4</v>
      </c>
      <c r="J64" s="5" t="n">
        <v>52947</v>
      </c>
      <c r="K64" t="inlineStr">
        <is>
          <t>Part-Time</t>
        </is>
      </c>
      <c r="L64" t="inlineStr">
        <is>
          <t>Resigned</t>
        </is>
      </c>
      <c r="M64" t="inlineStr">
        <is>
          <t>Yes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Employee Summary</t>
        </is>
      </c>
    </row>
    <row r="2"/>
    <row r="3"/>
    <row r="4">
      <c r="A4" s="3" t="inlineStr">
        <is>
          <t>Metric</t>
        </is>
      </c>
      <c r="B4" s="3" t="inlineStr">
        <is>
          <t>Value</t>
        </is>
      </c>
      <c r="C4" s="3" t="n"/>
      <c r="D4" s="3" t="n"/>
      <c r="E4" s="3" t="n"/>
      <c r="F4" s="3" t="n"/>
      <c r="G4" s="3" t="n"/>
      <c r="H4" s="3" t="n"/>
    </row>
    <row r="5">
      <c r="A5" t="inlineStr">
        <is>
          <t>Total Employees</t>
        </is>
      </c>
      <c r="B5">
        <f>COUNTA(Cleaned_HR_Data!A5:A64)</f>
        <v/>
      </c>
    </row>
    <row r="6">
      <c r="A6" t="inlineStr">
        <is>
          <t>Average Age</t>
        </is>
      </c>
      <c r="B6">
        <f>AVERAGE(Cleaned_HR_Data!D5:D64)</f>
        <v/>
      </c>
    </row>
    <row r="7">
      <c r="A7" t="inlineStr">
        <is>
          <t>Average Experience (Years)</t>
        </is>
      </c>
      <c r="B7">
        <f>AVERAGE(Cleaned_HR_Data!I5:I64)</f>
        <v/>
      </c>
    </row>
    <row r="8">
      <c r="A8" t="inlineStr">
        <is>
          <t>Average Monthly Salary</t>
        </is>
      </c>
      <c r="B8">
        <f>AVERAGE(Cleaned_HR_Data!J5:J64)</f>
        <v/>
      </c>
    </row>
    <row r="9">
      <c r="A9" t="inlineStr">
        <is>
          <t>Total Monthly Salary Cost</t>
        </is>
      </c>
      <c r="B9">
        <f>SUM(Cleaned_HR_Data!J5:J64)</f>
        <v/>
      </c>
    </row>
    <row r="10">
      <c r="A10" t="inlineStr">
        <is>
          <t>Active Employees</t>
        </is>
      </c>
      <c r="B10">
        <f>COUNTIF(Cleaned_HR_Data!L5:L64,"Active")</f>
        <v/>
      </c>
    </row>
    <row r="11">
      <c r="A11" t="inlineStr">
        <is>
          <t>Attrition Count</t>
        </is>
      </c>
      <c r="B11">
        <f>COUNTIF(Cleaned_HR_Data!M5:M64,"Yes")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26" customWidth="1" min="7" max="7"/>
    <col width="12" customWidth="1" min="8" max="8"/>
  </cols>
  <sheetData>
    <row r="1">
      <c r="A1" s="1" t="inlineStr">
        <is>
          <t>Department Analysis</t>
        </is>
      </c>
    </row>
    <row r="2"/>
    <row r="3"/>
    <row r="4">
      <c r="A4" s="3" t="inlineStr">
        <is>
          <t>Department</t>
        </is>
      </c>
      <c r="B4" s="3" t="inlineStr">
        <is>
          <t>Employee_Count</t>
        </is>
      </c>
      <c r="C4" s="3" t="inlineStr">
        <is>
          <t>Average_Salary</t>
        </is>
      </c>
      <c r="D4" s="3" t="inlineStr">
        <is>
          <t>Total_Salary</t>
        </is>
      </c>
      <c r="E4" s="3" t="inlineStr">
        <is>
          <t>Average_Experience</t>
        </is>
      </c>
      <c r="F4" s="3" t="inlineStr">
        <is>
          <t>Attrition_Count</t>
        </is>
      </c>
      <c r="G4" s="3" t="inlineStr">
        <is>
          <t>Attrition_Rate_%</t>
        </is>
      </c>
      <c r="H4" s="3" t="n"/>
    </row>
    <row r="5">
      <c r="A5" t="inlineStr">
        <is>
          <t>Sales</t>
        </is>
      </c>
      <c r="B5">
        <f>COUNTIF(Cleaned_HR_Data!E5:E64,A5)</f>
        <v/>
      </c>
      <c r="C5">
        <f>AVERAGEIF(Cleaned_HR_Data!E5:E64,A5,Cleaned_HR_Data!J5:J64)</f>
        <v/>
      </c>
      <c r="D5">
        <f>SUMIF(Cleaned_HR_Data!E5:E64,A5,Cleaned_HR_Data!J5:J64)</f>
        <v/>
      </c>
      <c r="E5">
        <f>AVERAGEIF(Cleaned_HR_Data!E5:E64,A5,Cleaned_HR_Data!I5:I64)</f>
        <v/>
      </c>
      <c r="F5">
        <f>COUNTIFS(Cleaned_HR_Data!E5:E64,A5,Cleaned_HR_Data!M5:M64,"Yes")</f>
        <v/>
      </c>
      <c r="G5">
        <f>IF(B5=0,0,F5/B5*100)</f>
        <v/>
      </c>
    </row>
    <row r="6">
      <c r="A6" t="inlineStr">
        <is>
          <t>Finance</t>
        </is>
      </c>
      <c r="B6">
        <f>COUNTIF(Cleaned_HR_Data!E5:E64,A6)</f>
        <v/>
      </c>
      <c r="C6">
        <f>AVERAGEIF(Cleaned_HR_Data!E5:E64,A6,Cleaned_HR_Data!J5:J64)</f>
        <v/>
      </c>
      <c r="D6">
        <f>SUMIF(Cleaned_HR_Data!E5:E64,A6,Cleaned_HR_Data!J5:J64)</f>
        <v/>
      </c>
      <c r="E6">
        <f>AVERAGEIF(Cleaned_HR_Data!E5:E64,A6,Cleaned_HR_Data!I5:I64)</f>
        <v/>
      </c>
      <c r="F6">
        <f>COUNTIFS(Cleaned_HR_Data!E5:E64,A6,Cleaned_HR_Data!M5:M64,"Yes")</f>
        <v/>
      </c>
      <c r="G6">
        <f>IF(B6=0,0,F6/B6*100)</f>
        <v/>
      </c>
    </row>
    <row r="7">
      <c r="A7" t="inlineStr">
        <is>
          <t>HR</t>
        </is>
      </c>
      <c r="B7">
        <f>COUNTIF(Cleaned_HR_Data!E5:E64,A7)</f>
        <v/>
      </c>
      <c r="C7">
        <f>AVERAGEIF(Cleaned_HR_Data!E5:E64,A7,Cleaned_HR_Data!J5:J64)</f>
        <v/>
      </c>
      <c r="D7">
        <f>SUMIF(Cleaned_HR_Data!E5:E64,A7,Cleaned_HR_Data!J5:J64)</f>
        <v/>
      </c>
      <c r="E7">
        <f>AVERAGEIF(Cleaned_HR_Data!E5:E64,A7,Cleaned_HR_Data!I5:I64)</f>
        <v/>
      </c>
      <c r="F7">
        <f>COUNTIFS(Cleaned_HR_Data!E5:E64,A7,Cleaned_HR_Data!M5:M64,"Yes")</f>
        <v/>
      </c>
      <c r="G7">
        <f>IF(B7=0,0,F7/B7*100)</f>
        <v/>
      </c>
    </row>
    <row r="8">
      <c r="A8" t="inlineStr">
        <is>
          <t>IT</t>
        </is>
      </c>
      <c r="B8">
        <f>COUNTIF(Cleaned_HR_Data!E5:E64,A8)</f>
        <v/>
      </c>
      <c r="C8">
        <f>AVERAGEIF(Cleaned_HR_Data!E5:E64,A8,Cleaned_HR_Data!J5:J64)</f>
        <v/>
      </c>
      <c r="D8">
        <f>SUMIF(Cleaned_HR_Data!E5:E64,A8,Cleaned_HR_Data!J5:J64)</f>
        <v/>
      </c>
      <c r="E8">
        <f>AVERAGEIF(Cleaned_HR_Data!E5:E64,A8,Cleaned_HR_Data!I5:I64)</f>
        <v/>
      </c>
      <c r="F8">
        <f>COUNTIFS(Cleaned_HR_Data!E5:E64,A8,Cleaned_HR_Data!M5:M64,"Yes")</f>
        <v/>
      </c>
      <c r="G8">
        <f>IF(B8=0,0,F8/B8*100)</f>
        <v/>
      </c>
    </row>
    <row r="9">
      <c r="A9" t="inlineStr">
        <is>
          <t>Marketing</t>
        </is>
      </c>
      <c r="B9">
        <f>COUNTIF(Cleaned_HR_Data!E5:E64,A9)</f>
        <v/>
      </c>
      <c r="C9">
        <f>AVERAGEIF(Cleaned_HR_Data!E5:E64,A9,Cleaned_HR_Data!J5:J64)</f>
        <v/>
      </c>
      <c r="D9">
        <f>SUMIF(Cleaned_HR_Data!E5:E64,A9,Cleaned_HR_Data!J5:J64)</f>
        <v/>
      </c>
      <c r="E9">
        <f>AVERAGEIF(Cleaned_HR_Data!E5:E64,A9,Cleaned_HR_Data!I5:I64)</f>
        <v/>
      </c>
      <c r="F9">
        <f>COUNTIFS(Cleaned_HR_Data!E5:E64,A9,Cleaned_HR_Data!M5:M64,"Yes")</f>
        <v/>
      </c>
      <c r="G9">
        <f>IF(B9=0,0,F9/B9*100)</f>
        <v/>
      </c>
    </row>
    <row r="10">
      <c r="A10" t="inlineStr">
        <is>
          <t>Operations</t>
        </is>
      </c>
      <c r="B10">
        <f>COUNTIF(Cleaned_HR_Data!E5:E64,A10)</f>
        <v/>
      </c>
      <c r="C10">
        <f>AVERAGEIF(Cleaned_HR_Data!E5:E64,A10,Cleaned_HR_Data!J5:J64)</f>
        <v/>
      </c>
      <c r="D10">
        <f>SUMIF(Cleaned_HR_Data!E5:E64,A10,Cleaned_HR_Data!J5:J64)</f>
        <v/>
      </c>
      <c r="E10">
        <f>AVERAGEIF(Cleaned_HR_Data!E5:E64,A10,Cleaned_HR_Data!I5:I64)</f>
        <v/>
      </c>
      <c r="F10">
        <f>COUNTIFS(Cleaned_HR_Data!E5:E64,A10,Cleaned_HR_Data!M5:M64,"Yes")</f>
        <v/>
      </c>
      <c r="G10">
        <f>IF(B10=0,0,F10/B10*100)</f>
        <v/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  <col width="35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Job Role Analysis</t>
        </is>
      </c>
    </row>
    <row r="2"/>
    <row r="3"/>
    <row r="4">
      <c r="A4" s="3" t="inlineStr">
        <is>
          <t>Job_Role</t>
        </is>
      </c>
      <c r="B4" s="3" t="inlineStr">
        <is>
          <t>Employee_Count</t>
        </is>
      </c>
      <c r="C4" s="3" t="inlineStr">
        <is>
          <t>Average_Salary</t>
        </is>
      </c>
      <c r="D4" s="3" t="inlineStr">
        <is>
          <t>Total_Salary</t>
        </is>
      </c>
      <c r="E4" s="3" t="inlineStr">
        <is>
          <t>Average_Experience</t>
        </is>
      </c>
      <c r="F4" s="3" t="n"/>
      <c r="G4" s="3" t="n"/>
      <c r="H4" s="3" t="n"/>
    </row>
    <row r="5">
      <c r="A5" t="inlineStr">
        <is>
          <t>Sales Executive</t>
        </is>
      </c>
      <c r="B5">
        <f>COUNTIF(Cleaned_HR_Data!F5:F64,A5)</f>
        <v/>
      </c>
      <c r="C5">
        <f>AVERAGEIF(Cleaned_HR_Data!F5:F64,A5,Cleaned_HR_Data!J5:J64)</f>
        <v/>
      </c>
      <c r="D5">
        <f>SUMIF(Cleaned_HR_Data!F5:F64,A5,Cleaned_HR_Data!J5:J64)</f>
        <v/>
      </c>
      <c r="E5">
        <f>AVERAGEIF(Cleaned_HR_Data!F5:F64,A5,Cleaned_HR_Data!I5:I64)</f>
        <v/>
      </c>
    </row>
    <row r="6">
      <c r="A6" t="inlineStr">
        <is>
          <t>Financial Analyst</t>
        </is>
      </c>
      <c r="B6">
        <f>COUNTIF(Cleaned_HR_Data!F5:F64,A6)</f>
        <v/>
      </c>
      <c r="C6">
        <f>AVERAGEIF(Cleaned_HR_Data!F5:F64,A6,Cleaned_HR_Data!J5:J64)</f>
        <v/>
      </c>
      <c r="D6">
        <f>SUMIF(Cleaned_HR_Data!F5:F64,A6,Cleaned_HR_Data!J5:J64)</f>
        <v/>
      </c>
      <c r="E6">
        <f>AVERAGEIF(Cleaned_HR_Data!F5:F64,A6,Cleaned_HR_Data!I5:I64)</f>
        <v/>
      </c>
    </row>
    <row r="7">
      <c r="A7" t="inlineStr">
        <is>
          <t>HR Executive</t>
        </is>
      </c>
      <c r="B7">
        <f>COUNTIF(Cleaned_HR_Data!F5:F64,A7)</f>
        <v/>
      </c>
      <c r="C7">
        <f>AVERAGEIF(Cleaned_HR_Data!F5:F64,A7,Cleaned_HR_Data!J5:J64)</f>
        <v/>
      </c>
      <c r="D7">
        <f>SUMIF(Cleaned_HR_Data!F5:F64,A7,Cleaned_HR_Data!J5:J64)</f>
        <v/>
      </c>
      <c r="E7">
        <f>AVERAGEIF(Cleaned_HR_Data!F5:F64,A7,Cleaned_HR_Data!I5:I64)</f>
        <v/>
      </c>
    </row>
    <row r="8">
      <c r="A8" t="inlineStr">
        <is>
          <t>Software Analyst</t>
        </is>
      </c>
      <c r="B8">
        <f>COUNTIF(Cleaned_HR_Data!F5:F64,A8)</f>
        <v/>
      </c>
      <c r="C8">
        <f>AVERAGEIF(Cleaned_HR_Data!F5:F64,A8,Cleaned_HR_Data!J5:J64)</f>
        <v/>
      </c>
      <c r="D8">
        <f>SUMIF(Cleaned_HR_Data!F5:F64,A8,Cleaned_HR_Data!J5:J64)</f>
        <v/>
      </c>
      <c r="E8">
        <f>AVERAGEIF(Cleaned_HR_Data!F5:F64,A8,Cleaned_HR_Data!I5:I64)</f>
        <v/>
      </c>
    </row>
    <row r="9">
      <c r="A9" t="inlineStr">
        <is>
          <t>Marketing Executive</t>
        </is>
      </c>
      <c r="B9">
        <f>COUNTIF(Cleaned_HR_Data!F5:F64,A9)</f>
        <v/>
      </c>
      <c r="C9">
        <f>AVERAGEIF(Cleaned_HR_Data!F5:F64,A9,Cleaned_HR_Data!J5:J64)</f>
        <v/>
      </c>
      <c r="D9">
        <f>SUMIF(Cleaned_HR_Data!F5:F64,A9,Cleaned_HR_Data!J5:J64)</f>
        <v/>
      </c>
      <c r="E9">
        <f>AVERAGEIF(Cleaned_HR_Data!F5:F64,A9,Cleaned_HR_Data!I5:I64)</f>
        <v/>
      </c>
    </row>
    <row r="10">
      <c r="A10" t="inlineStr">
        <is>
          <t>Operations Executive</t>
        </is>
      </c>
      <c r="B10">
        <f>COUNTIF(Cleaned_HR_Data!F5:F64,A10)</f>
        <v/>
      </c>
      <c r="C10">
        <f>AVERAGEIF(Cleaned_HR_Data!F5:F64,A10,Cleaned_HR_Data!J5:J64)</f>
        <v/>
      </c>
      <c r="D10">
        <f>SUMIF(Cleaned_HR_Data!F5:F64,A10,Cleaned_HR_Data!J5:J64)</f>
        <v/>
      </c>
      <c r="E10">
        <f>AVERAGEIF(Cleaned_HR_Data!F5:F64,A10,Cleaned_HR_Data!I5:I64)</f>
        <v/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35" customWidth="1" min="4" max="4"/>
    <col width="35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Salary Analysis</t>
        </is>
      </c>
    </row>
    <row r="2"/>
    <row r="3"/>
    <row r="4">
      <c r="A4" s="3" t="inlineStr">
        <is>
          <t>Department</t>
        </is>
      </c>
      <c r="B4" s="3" t="inlineStr">
        <is>
          <t>Average_Salary</t>
        </is>
      </c>
      <c r="C4" s="3" t="inlineStr">
        <is>
          <t>Minimum_Salary</t>
        </is>
      </c>
      <c r="D4" s="3" t="inlineStr">
        <is>
          <t>Maximum_Salary</t>
        </is>
      </c>
      <c r="E4" s="3" t="inlineStr">
        <is>
          <t>Total_Salary</t>
        </is>
      </c>
      <c r="F4" s="3" t="n"/>
      <c r="G4" s="3" t="n"/>
      <c r="H4" s="3" t="n"/>
    </row>
    <row r="5">
      <c r="A5" t="inlineStr">
        <is>
          <t>Sales</t>
        </is>
      </c>
      <c r="B5">
        <f>AVERAGEIF(Cleaned_HR_Data!E5:E64,A5,Cleaned_HR_Data!J5:J64)</f>
        <v/>
      </c>
      <c r="C5">
        <f>MINIFS(Cleaned_HR_Data!J5:J64,Cleaned_HR_Data!E5:E64,A5)</f>
        <v/>
      </c>
      <c r="D5">
        <f>MAXIFS(Cleaned_HR_Data!J5:J64,Cleaned_HR_Data!E5:E64,A5)</f>
        <v/>
      </c>
      <c r="E5">
        <f>SUMIF(Cleaned_HR_Data!E5:E64,A5,Cleaned_HR_Data!J5:J64)</f>
        <v/>
      </c>
    </row>
    <row r="6">
      <c r="A6" t="inlineStr">
        <is>
          <t>Finance</t>
        </is>
      </c>
      <c r="B6">
        <f>AVERAGEIF(Cleaned_HR_Data!E5:E64,A6,Cleaned_HR_Data!J5:J64)</f>
        <v/>
      </c>
      <c r="C6">
        <f>MINIFS(Cleaned_HR_Data!J5:J64,Cleaned_HR_Data!E5:E64,A6)</f>
        <v/>
      </c>
      <c r="D6">
        <f>MAXIFS(Cleaned_HR_Data!J5:J64,Cleaned_HR_Data!E5:E64,A6)</f>
        <v/>
      </c>
      <c r="E6">
        <f>SUMIF(Cleaned_HR_Data!E5:E64,A6,Cleaned_HR_Data!J5:J64)</f>
        <v/>
      </c>
    </row>
    <row r="7">
      <c r="A7" t="inlineStr">
        <is>
          <t>HR</t>
        </is>
      </c>
      <c r="B7">
        <f>AVERAGEIF(Cleaned_HR_Data!E5:E64,A7,Cleaned_HR_Data!J5:J64)</f>
        <v/>
      </c>
      <c r="C7">
        <f>MINIFS(Cleaned_HR_Data!J5:J64,Cleaned_HR_Data!E5:E64,A7)</f>
        <v/>
      </c>
      <c r="D7">
        <f>MAXIFS(Cleaned_HR_Data!J5:J64,Cleaned_HR_Data!E5:E64,A7)</f>
        <v/>
      </c>
      <c r="E7">
        <f>SUMIF(Cleaned_HR_Data!E5:E64,A7,Cleaned_HR_Data!J5:J64)</f>
        <v/>
      </c>
    </row>
    <row r="8">
      <c r="A8" t="inlineStr">
        <is>
          <t>IT</t>
        </is>
      </c>
      <c r="B8">
        <f>AVERAGEIF(Cleaned_HR_Data!E5:E64,A8,Cleaned_HR_Data!J5:J64)</f>
        <v/>
      </c>
      <c r="C8">
        <f>MINIFS(Cleaned_HR_Data!J5:J64,Cleaned_HR_Data!E5:E64,A8)</f>
        <v/>
      </c>
      <c r="D8">
        <f>MAXIFS(Cleaned_HR_Data!J5:J64,Cleaned_HR_Data!E5:E64,A8)</f>
        <v/>
      </c>
      <c r="E8">
        <f>SUMIF(Cleaned_HR_Data!E5:E64,A8,Cleaned_HR_Data!J5:J64)</f>
        <v/>
      </c>
    </row>
    <row r="9">
      <c r="A9" t="inlineStr">
        <is>
          <t>Marketing</t>
        </is>
      </c>
      <c r="B9">
        <f>AVERAGEIF(Cleaned_HR_Data!E5:E64,A9,Cleaned_HR_Data!J5:J64)</f>
        <v/>
      </c>
      <c r="C9">
        <f>MINIFS(Cleaned_HR_Data!J5:J64,Cleaned_HR_Data!E5:E64,A9)</f>
        <v/>
      </c>
      <c r="D9">
        <f>MAXIFS(Cleaned_HR_Data!J5:J64,Cleaned_HR_Data!E5:E64,A9)</f>
        <v/>
      </c>
      <c r="E9">
        <f>SUMIF(Cleaned_HR_Data!E5:E64,A9,Cleaned_HR_Data!J5:J64)</f>
        <v/>
      </c>
    </row>
    <row r="10">
      <c r="A10" t="inlineStr">
        <is>
          <t>Operations</t>
        </is>
      </c>
      <c r="B10">
        <f>AVERAGEIF(Cleaned_HR_Data!E5:E64,A10,Cleaned_HR_Data!J5:J64)</f>
        <v/>
      </c>
      <c r="C10">
        <f>MINIFS(Cleaned_HR_Data!J5:J64,Cleaned_HR_Data!E5:E64,A10)</f>
        <v/>
      </c>
      <c r="D10">
        <f>MAXIFS(Cleaned_HR_Data!J5:J64,Cleaned_HR_Data!E5:E64,A10)</f>
        <v/>
      </c>
      <c r="E10">
        <f>SUMIF(Cleaned_HR_Data!E5:E64,A10,Cleaned_HR_Data!J5:J64)</f>
        <v/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  <col width="26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Attrition Analysis</t>
        </is>
      </c>
    </row>
    <row r="2"/>
    <row r="3"/>
    <row r="4">
      <c r="A4" s="3" t="inlineStr">
        <is>
          <t>Department</t>
        </is>
      </c>
      <c r="B4" s="3" t="inlineStr">
        <is>
          <t>Employees</t>
        </is>
      </c>
      <c r="C4" s="3" t="inlineStr">
        <is>
          <t>Attrition_Count</t>
        </is>
      </c>
      <c r="D4" s="3" t="inlineStr">
        <is>
          <t>Attrition_Rate_%</t>
        </is>
      </c>
      <c r="E4" s="3" t="n"/>
      <c r="F4" s="3" t="n"/>
      <c r="G4" s="3" t="n"/>
      <c r="H4" s="3" t="n"/>
    </row>
    <row r="5">
      <c r="A5" t="inlineStr">
        <is>
          <t>Sales</t>
        </is>
      </c>
      <c r="B5">
        <f>COUNTIF(Cleaned_HR_Data!E5:E64,A5)</f>
        <v/>
      </c>
      <c r="C5">
        <f>COUNTIFS(Cleaned_HR_Data!E5:E64,A5,Cleaned_HR_Data!M5:M64,"Yes")</f>
        <v/>
      </c>
      <c r="D5">
        <f>IF(B5=0,0,C5/B5*100)</f>
        <v/>
      </c>
    </row>
    <row r="6">
      <c r="A6" t="inlineStr">
        <is>
          <t>Finance</t>
        </is>
      </c>
      <c r="B6">
        <f>COUNTIF(Cleaned_HR_Data!E5:E64,A6)</f>
        <v/>
      </c>
      <c r="C6">
        <f>COUNTIFS(Cleaned_HR_Data!E5:E64,A6,Cleaned_HR_Data!M5:M64,"Yes")</f>
        <v/>
      </c>
      <c r="D6">
        <f>IF(B6=0,0,C6/B6*100)</f>
        <v/>
      </c>
    </row>
    <row r="7">
      <c r="A7" t="inlineStr">
        <is>
          <t>HR</t>
        </is>
      </c>
      <c r="B7">
        <f>COUNTIF(Cleaned_HR_Data!E5:E64,A7)</f>
        <v/>
      </c>
      <c r="C7">
        <f>COUNTIFS(Cleaned_HR_Data!E5:E64,A7,Cleaned_HR_Data!M5:M64,"Yes")</f>
        <v/>
      </c>
      <c r="D7">
        <f>IF(B7=0,0,C7/B7*100)</f>
        <v/>
      </c>
    </row>
    <row r="8">
      <c r="A8" t="inlineStr">
        <is>
          <t>IT</t>
        </is>
      </c>
      <c r="B8">
        <f>COUNTIF(Cleaned_HR_Data!E5:E64,A8)</f>
        <v/>
      </c>
      <c r="C8">
        <f>COUNTIFS(Cleaned_HR_Data!E5:E64,A8,Cleaned_HR_Data!M5:M64,"Yes")</f>
        <v/>
      </c>
      <c r="D8">
        <f>IF(B8=0,0,C8/B8*100)</f>
        <v/>
      </c>
    </row>
    <row r="9">
      <c r="A9" t="inlineStr">
        <is>
          <t>Marketing</t>
        </is>
      </c>
      <c r="B9">
        <f>COUNTIF(Cleaned_HR_Data!E5:E64,A9)</f>
        <v/>
      </c>
      <c r="C9">
        <f>COUNTIFS(Cleaned_HR_Data!E5:E64,A9,Cleaned_HR_Data!M5:M64,"Yes")</f>
        <v/>
      </c>
      <c r="D9">
        <f>IF(B9=0,0,C9/B9*100)</f>
        <v/>
      </c>
    </row>
    <row r="10">
      <c r="A10" t="inlineStr">
        <is>
          <t>Operations</t>
        </is>
      </c>
      <c r="B10">
        <f>COUNTIF(Cleaned_HR_Data!E5:E64,A10)</f>
        <v/>
      </c>
      <c r="C10">
        <f>COUNTIFS(Cleaned_HR_Data!E5:E64,A10,Cleaned_HR_Data!M5:M64,"Yes")</f>
        <v/>
      </c>
      <c r="D10">
        <f>IF(B10=0,0,C10/B10*100)</f>
        <v/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35" customWidth="1" min="3" max="3"/>
    <col width="17" customWidth="1" min="4" max="4"/>
    <col width="35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Monthly HR Analysis</t>
        </is>
      </c>
    </row>
    <row r="2"/>
    <row r="3"/>
    <row r="4">
      <c r="A4" s="3" t="inlineStr">
        <is>
          <t>Month</t>
        </is>
      </c>
      <c r="B4" s="3" t="inlineStr">
        <is>
          <t>Employee_Records</t>
        </is>
      </c>
      <c r="C4" s="3" t="inlineStr">
        <is>
          <t>New_Joiners</t>
        </is>
      </c>
      <c r="D4" s="3" t="inlineStr">
        <is>
          <t>Attrition_Count</t>
        </is>
      </c>
      <c r="E4" s="3" t="inlineStr">
        <is>
          <t>Total_Monthly_Salary</t>
        </is>
      </c>
      <c r="F4" s="3" t="n"/>
      <c r="G4" s="3" t="n"/>
      <c r="H4" s="3" t="n"/>
    </row>
    <row r="5">
      <c r="A5" s="6" t="n">
        <v>45658</v>
      </c>
      <c r="B5">
        <f>COUNTIFS(Cleaned_HR_Data!B5:B64,"&gt;="&amp;A5,Cleaned_HR_Data!B5:B64,"&lt;"&amp;EDATE(A5,1))</f>
        <v/>
      </c>
      <c r="C5">
        <f>COUNTIFS(Cleaned_HR_Data!B5:B64,"&gt;="&amp;A5,Cleaned_HR_Data!B5:B64,"&lt;"&amp;EDATE(A5,1))</f>
        <v/>
      </c>
      <c r="D5" t="n">
        <v>0</v>
      </c>
      <c r="E5">
        <f>SUMIFS(Cleaned_HR_Data!J5:J64,Cleaned_HR_Data!B5:B64,"&gt;="&amp;A5,Cleaned_HR_Data!B5:B64,"&lt;"&amp;EDATE(A5,1))</f>
        <v/>
      </c>
    </row>
    <row r="6">
      <c r="A6" s="6" t="n">
        <v>45689</v>
      </c>
      <c r="B6">
        <f>COUNTIFS(Cleaned_HR_Data!B5:B64,"&gt;="&amp;A6,Cleaned_HR_Data!B5:B64,"&lt;"&amp;EDATE(A6,1))</f>
        <v/>
      </c>
      <c r="C6">
        <f>COUNTIFS(Cleaned_HR_Data!B5:B64,"&gt;="&amp;A6,Cleaned_HR_Data!B5:B64,"&lt;"&amp;EDATE(A6,1))</f>
        <v/>
      </c>
      <c r="D6" t="n">
        <v>0</v>
      </c>
      <c r="E6">
        <f>SUMIFS(Cleaned_HR_Data!J5:J64,Cleaned_HR_Data!B5:B64,"&gt;="&amp;A6,Cleaned_HR_Data!B5:B64,"&lt;"&amp;EDATE(A6,1))</f>
        <v/>
      </c>
    </row>
    <row r="7">
      <c r="A7" s="6" t="n">
        <v>45717</v>
      </c>
      <c r="B7">
        <f>COUNTIFS(Cleaned_HR_Data!B5:B64,"&gt;="&amp;A7,Cleaned_HR_Data!B5:B64,"&lt;"&amp;EDATE(A7,1))</f>
        <v/>
      </c>
      <c r="C7">
        <f>COUNTIFS(Cleaned_HR_Data!B5:B64,"&gt;="&amp;A7,Cleaned_HR_Data!B5:B64,"&lt;"&amp;EDATE(A7,1))</f>
        <v/>
      </c>
      <c r="D7" t="n">
        <v>0</v>
      </c>
      <c r="E7">
        <f>SUMIFS(Cleaned_HR_Data!J5:J64,Cleaned_HR_Data!B5:B64,"&gt;="&amp;A7,Cleaned_HR_Data!B5:B64,"&lt;"&amp;EDATE(A7,1))</f>
        <v/>
      </c>
    </row>
    <row r="8">
      <c r="A8" s="6" t="n">
        <v>45748</v>
      </c>
      <c r="B8">
        <f>COUNTIFS(Cleaned_HR_Data!B5:B64,"&gt;="&amp;A8,Cleaned_HR_Data!B5:B64,"&lt;"&amp;EDATE(A8,1))</f>
        <v/>
      </c>
      <c r="C8">
        <f>COUNTIFS(Cleaned_HR_Data!B5:B64,"&gt;="&amp;A8,Cleaned_HR_Data!B5:B64,"&lt;"&amp;EDATE(A8,1))</f>
        <v/>
      </c>
      <c r="D8" t="n">
        <v>0</v>
      </c>
      <c r="E8">
        <f>SUMIFS(Cleaned_HR_Data!J5:J64,Cleaned_HR_Data!B5:B64,"&gt;="&amp;A8,Cleaned_HR_Data!B5:B64,"&lt;"&amp;EDATE(A8,1))</f>
        <v/>
      </c>
    </row>
    <row r="9">
      <c r="A9" s="6" t="n">
        <v>45778</v>
      </c>
      <c r="B9">
        <f>COUNTIFS(Cleaned_HR_Data!B5:B64,"&gt;="&amp;A9,Cleaned_HR_Data!B5:B64,"&lt;"&amp;EDATE(A9,1))</f>
        <v/>
      </c>
      <c r="C9">
        <f>COUNTIFS(Cleaned_HR_Data!B5:B64,"&gt;="&amp;A9,Cleaned_HR_Data!B5:B64,"&lt;"&amp;EDATE(A9,1))</f>
        <v/>
      </c>
      <c r="D9" t="n">
        <v>0</v>
      </c>
      <c r="E9">
        <f>SUMIFS(Cleaned_HR_Data!J5:J64,Cleaned_HR_Data!B5:B64,"&gt;="&amp;A9,Cleaned_HR_Data!B5:B64,"&lt;"&amp;EDATE(A9,1))</f>
        <v/>
      </c>
    </row>
    <row r="10">
      <c r="A10" s="6" t="n">
        <v>45809</v>
      </c>
      <c r="B10">
        <f>COUNTIFS(Cleaned_HR_Data!B5:B64,"&gt;="&amp;A10,Cleaned_HR_Data!B5:B64,"&lt;"&amp;EDATE(A10,1))</f>
        <v/>
      </c>
      <c r="C10">
        <f>COUNTIFS(Cleaned_HR_Data!B5:B64,"&gt;="&amp;A10,Cleaned_HR_Data!B5:B64,"&lt;"&amp;EDATE(A10,1))</f>
        <v/>
      </c>
      <c r="D10" t="n">
        <v>0</v>
      </c>
      <c r="E10">
        <f>SUMIFS(Cleaned_HR_Data!J5:J64,Cleaned_HR_Data!B5:B64,"&gt;="&amp;A10,Cleaned_HR_Data!B5:B64,"&lt;"&amp;EDATE(A10,1))</f>
        <v/>
      </c>
    </row>
    <row r="11">
      <c r="A11" s="6" t="n">
        <v>45839</v>
      </c>
      <c r="B11">
        <f>COUNTIFS(Cleaned_HR_Data!B5:B64,"&gt;="&amp;A11,Cleaned_HR_Data!B5:B64,"&lt;"&amp;EDATE(A11,1))</f>
        <v/>
      </c>
      <c r="C11">
        <f>COUNTIFS(Cleaned_HR_Data!B5:B64,"&gt;="&amp;A11,Cleaned_HR_Data!B5:B64,"&lt;"&amp;EDATE(A11,1))</f>
        <v/>
      </c>
      <c r="D11" t="n">
        <v>0</v>
      </c>
      <c r="E11">
        <f>SUMIFS(Cleaned_HR_Data!J5:J64,Cleaned_HR_Data!B5:B64,"&gt;="&amp;A11,Cleaned_HR_Data!B5:B64,"&lt;"&amp;EDATE(A11,1))</f>
        <v/>
      </c>
    </row>
    <row r="12">
      <c r="A12" s="6" t="n">
        <v>45870</v>
      </c>
      <c r="B12">
        <f>COUNTIFS(Cleaned_HR_Data!B5:B64,"&gt;="&amp;A12,Cleaned_HR_Data!B5:B64,"&lt;"&amp;EDATE(A12,1))</f>
        <v/>
      </c>
      <c r="C12">
        <f>COUNTIFS(Cleaned_HR_Data!B5:B64,"&gt;="&amp;A12,Cleaned_HR_Data!B5:B64,"&lt;"&amp;EDATE(A12,1))</f>
        <v/>
      </c>
      <c r="D12" t="n">
        <v>0</v>
      </c>
      <c r="E12">
        <f>SUMIFS(Cleaned_HR_Data!J5:J64,Cleaned_HR_Data!B5:B64,"&gt;="&amp;A12,Cleaned_HR_Data!B5:B64,"&lt;"&amp;EDATE(A12,1))</f>
        <v/>
      </c>
    </row>
    <row r="13">
      <c r="A13" s="6" t="n">
        <v>45901</v>
      </c>
      <c r="B13">
        <f>COUNTIFS(Cleaned_HR_Data!B5:B64,"&gt;="&amp;A13,Cleaned_HR_Data!B5:B64,"&lt;"&amp;EDATE(A13,1))</f>
        <v/>
      </c>
      <c r="C13">
        <f>COUNTIFS(Cleaned_HR_Data!B5:B64,"&gt;="&amp;A13,Cleaned_HR_Data!B5:B64,"&lt;"&amp;EDATE(A13,1))</f>
        <v/>
      </c>
      <c r="D13" t="n">
        <v>0</v>
      </c>
      <c r="E13">
        <f>SUMIFS(Cleaned_HR_Data!J5:J64,Cleaned_HR_Data!B5:B64,"&gt;="&amp;A13,Cleaned_HR_Data!B5:B64,"&lt;"&amp;EDATE(A13,1))</f>
        <v/>
      </c>
    </row>
    <row r="14">
      <c r="A14" s="6" t="n">
        <v>45931</v>
      </c>
      <c r="B14">
        <f>COUNTIFS(Cleaned_HR_Data!B5:B64,"&gt;="&amp;A14,Cleaned_HR_Data!B5:B64,"&lt;"&amp;EDATE(A14,1))</f>
        <v/>
      </c>
      <c r="C14">
        <f>COUNTIFS(Cleaned_HR_Data!B5:B64,"&gt;="&amp;A14,Cleaned_HR_Data!B5:B64,"&lt;"&amp;EDATE(A14,1))</f>
        <v/>
      </c>
      <c r="D14" t="n">
        <v>0</v>
      </c>
      <c r="E14">
        <f>SUMIFS(Cleaned_HR_Data!J5:J64,Cleaned_HR_Data!B5:B64,"&gt;="&amp;A14,Cleaned_HR_Data!B5:B64,"&lt;"&amp;EDATE(A14,1))</f>
        <v/>
      </c>
    </row>
    <row r="15">
      <c r="A15" s="6" t="n">
        <v>45962</v>
      </c>
      <c r="B15">
        <f>COUNTIFS(Cleaned_HR_Data!B5:B64,"&gt;="&amp;A15,Cleaned_HR_Data!B5:B64,"&lt;"&amp;EDATE(A15,1))</f>
        <v/>
      </c>
      <c r="C15">
        <f>COUNTIFS(Cleaned_HR_Data!B5:B64,"&gt;="&amp;A15,Cleaned_HR_Data!B5:B64,"&lt;"&amp;EDATE(A15,1))</f>
        <v/>
      </c>
      <c r="D15" t="n">
        <v>0</v>
      </c>
      <c r="E15">
        <f>SUMIFS(Cleaned_HR_Data!J5:J64,Cleaned_HR_Data!B5:B64,"&gt;="&amp;A15,Cleaned_HR_Data!B5:B64,"&lt;"&amp;EDATE(A15,1))</f>
        <v/>
      </c>
    </row>
    <row r="16">
      <c r="A16" s="6" t="n">
        <v>45992</v>
      </c>
      <c r="B16">
        <f>COUNTIFS(Cleaned_HR_Data!B5:B64,"&gt;="&amp;A16,Cleaned_HR_Data!B5:B64,"&lt;"&amp;EDATE(A16,1))</f>
        <v/>
      </c>
      <c r="C16">
        <f>COUNTIFS(Cleaned_HR_Data!B5:B64,"&gt;="&amp;A16,Cleaned_HR_Data!B5:B64,"&lt;"&amp;EDATE(A16,1))</f>
        <v/>
      </c>
      <c r="D16" t="n">
        <v>0</v>
      </c>
      <c r="E16">
        <f>SUMIFS(Cleaned_HR_Data!J5:J64,Cleaned_HR_Data!B5:B64,"&gt;="&amp;A16,Cleaned_HR_Data!B5:B64,"&lt;"&amp;EDATE(A16,1))</f>
        <v/>
      </c>
    </row>
    <row r="17">
      <c r="A17" s="6" t="n">
        <v>46023</v>
      </c>
      <c r="B17">
        <f>COUNTIFS(Cleaned_HR_Data!B5:B64,"&gt;="&amp;A17,Cleaned_HR_Data!B5:B64,"&lt;"&amp;EDATE(A17,1))</f>
        <v/>
      </c>
      <c r="C17">
        <f>COUNTIFS(Cleaned_HR_Data!B5:B64,"&gt;="&amp;A17,Cleaned_HR_Data!B5:B64,"&lt;"&amp;EDATE(A17,1))</f>
        <v/>
      </c>
      <c r="D17" t="n">
        <v>0</v>
      </c>
      <c r="E17">
        <f>SUMIFS(Cleaned_HR_Data!J5:J64,Cleaned_HR_Data!B5:B64,"&gt;="&amp;A17,Cleaned_HR_Data!B5:B64,"&lt;"&amp;EDATE(A17,1))</f>
        <v/>
      </c>
    </row>
    <row r="18">
      <c r="A18" s="6" t="n">
        <v>46054</v>
      </c>
      <c r="B18">
        <f>COUNTIFS(Cleaned_HR_Data!B5:B64,"&gt;="&amp;A18,Cleaned_HR_Data!B5:B64,"&lt;"&amp;EDATE(A18,1))</f>
        <v/>
      </c>
      <c r="C18">
        <f>COUNTIFS(Cleaned_HR_Data!B5:B64,"&gt;="&amp;A18,Cleaned_HR_Data!B5:B64,"&lt;"&amp;EDATE(A18,1))</f>
        <v/>
      </c>
      <c r="D18" t="n">
        <v>0</v>
      </c>
      <c r="E18">
        <f>SUMIFS(Cleaned_HR_Data!J5:J64,Cleaned_HR_Data!B5:B64,"&gt;="&amp;A18,Cleaned_HR_Data!B5:B64,"&lt;"&amp;EDATE(A18,1))</f>
        <v/>
      </c>
    </row>
    <row r="19">
      <c r="A19" s="6" t="n">
        <v>46082</v>
      </c>
      <c r="B19">
        <f>COUNTIFS(Cleaned_HR_Data!B5:B64,"&gt;="&amp;A19,Cleaned_HR_Data!B5:B64,"&lt;"&amp;EDATE(A19,1))</f>
        <v/>
      </c>
      <c r="C19">
        <f>COUNTIFS(Cleaned_HR_Data!B5:B64,"&gt;="&amp;A19,Cleaned_HR_Data!B5:B64,"&lt;"&amp;EDATE(A19,1))</f>
        <v/>
      </c>
      <c r="D19" t="n">
        <v>0</v>
      </c>
      <c r="E19">
        <f>SUMIFS(Cleaned_HR_Data!J5:J64,Cleaned_HR_Data!B5:B64,"&gt;="&amp;A19,Cleaned_HR_Data!B5:B64,"&lt;"&amp;EDATE(A19,1))</f>
        <v/>
      </c>
    </row>
    <row r="20">
      <c r="A20" s="6" t="n">
        <v>46113</v>
      </c>
      <c r="B20">
        <f>COUNTIFS(Cleaned_HR_Data!B5:B64,"&gt;="&amp;A20,Cleaned_HR_Data!B5:B64,"&lt;"&amp;EDATE(A20,1))</f>
        <v/>
      </c>
      <c r="C20">
        <f>COUNTIFS(Cleaned_HR_Data!B5:B64,"&gt;="&amp;A20,Cleaned_HR_Data!B5:B64,"&lt;"&amp;EDATE(A20,1))</f>
        <v/>
      </c>
      <c r="D20" t="n">
        <v>0</v>
      </c>
      <c r="E20">
        <f>SUMIFS(Cleaned_HR_Data!J5:J64,Cleaned_HR_Data!B5:B64,"&gt;="&amp;A20,Cleaned_HR_Data!B5:B64,"&lt;"&amp;EDATE(A20,1))</f>
        <v/>
      </c>
    </row>
    <row r="21">
      <c r="A21" s="6" t="n">
        <v>46143</v>
      </c>
      <c r="B21">
        <f>COUNTIFS(Cleaned_HR_Data!B5:B64,"&gt;="&amp;A21,Cleaned_HR_Data!B5:B64,"&lt;"&amp;EDATE(A21,1))</f>
        <v/>
      </c>
      <c r="C21">
        <f>COUNTIFS(Cleaned_HR_Data!B5:B64,"&gt;="&amp;A21,Cleaned_HR_Data!B5:B64,"&lt;"&amp;EDATE(A21,1))</f>
        <v/>
      </c>
      <c r="D21" t="n">
        <v>0</v>
      </c>
      <c r="E21">
        <f>SUMIFS(Cleaned_HR_Data!J5:J64,Cleaned_HR_Data!B5:B64,"&gt;="&amp;A21,Cleaned_HR_Data!B5:B64,"&lt;"&amp;EDATE(A21,1))</f>
        <v/>
      </c>
    </row>
    <row r="22">
      <c r="A22" s="6" t="n">
        <v>46174</v>
      </c>
      <c r="B22">
        <f>COUNTIFS(Cleaned_HR_Data!B5:B64,"&gt;="&amp;A22,Cleaned_HR_Data!B5:B64,"&lt;"&amp;EDATE(A22,1))</f>
        <v/>
      </c>
      <c r="C22">
        <f>COUNTIFS(Cleaned_HR_Data!B5:B64,"&gt;="&amp;A22,Cleaned_HR_Data!B5:B64,"&lt;"&amp;EDATE(A22,1))</f>
        <v/>
      </c>
      <c r="D22" t="n">
        <v>0</v>
      </c>
      <c r="E22">
        <f>SUMIFS(Cleaned_HR_Data!J5:J64,Cleaned_HR_Data!B5:B64,"&gt;="&amp;A22,Cleaned_HR_Data!B5:B64,"&lt;"&amp;EDATE(A22,1))</f>
        <v/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2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HR KPI</t>
        </is>
      </c>
    </row>
    <row r="2"/>
    <row r="3"/>
    <row r="4">
      <c r="A4" s="3" t="inlineStr">
        <is>
          <t>KPI</t>
        </is>
      </c>
      <c r="B4" s="3" t="inlineStr">
        <is>
          <t>Value</t>
        </is>
      </c>
      <c r="C4" s="3" t="inlineStr">
        <is>
          <t>Description</t>
        </is>
      </c>
      <c r="D4" s="3" t="n"/>
      <c r="E4" s="3" t="n"/>
      <c r="F4" s="3" t="n"/>
      <c r="G4" s="3" t="n"/>
      <c r="H4" s="3" t="n"/>
    </row>
    <row r="5">
      <c r="A5" t="inlineStr">
        <is>
          <t>Total Employees</t>
        </is>
      </c>
      <c r="B5">
        <f>COUNTA(Cleaned_HR_Data!A5:A64)</f>
        <v/>
      </c>
      <c r="C5" t="inlineStr">
        <is>
          <t>Number of employees</t>
        </is>
      </c>
    </row>
    <row r="6">
      <c r="A6" t="inlineStr">
        <is>
          <t>Average Age</t>
        </is>
      </c>
      <c r="B6">
        <f>AVERAGE(Cleaned_HR_Data!D5:D64)</f>
        <v/>
      </c>
      <c r="C6" t="inlineStr">
        <is>
          <t>Average employee age</t>
        </is>
      </c>
    </row>
    <row r="7">
      <c r="A7" t="inlineStr">
        <is>
          <t>Average Experience (Years)</t>
        </is>
      </c>
      <c r="B7">
        <f>AVERAGE(Cleaned_HR_Data!I5:I64)</f>
        <v/>
      </c>
      <c r="C7" t="inlineStr">
        <is>
          <t>Average experience</t>
        </is>
      </c>
    </row>
    <row r="8">
      <c r="A8" t="inlineStr">
        <is>
          <t>Average Monthly Salary</t>
        </is>
      </c>
      <c r="B8">
        <f>AVERAGE(Cleaned_HR_Data!J5:J64)</f>
        <v/>
      </c>
      <c r="C8" t="inlineStr">
        <is>
          <t>Average salary</t>
        </is>
      </c>
    </row>
    <row r="9">
      <c r="A9" t="inlineStr">
        <is>
          <t>Total Monthly Salary Cost</t>
        </is>
      </c>
      <c r="B9">
        <f>SUM(Cleaned_HR_Data!J5:J64)</f>
        <v/>
      </c>
      <c r="C9" t="inlineStr">
        <is>
          <t>Total salary cost</t>
        </is>
      </c>
    </row>
    <row r="10">
      <c r="A10" t="inlineStr">
        <is>
          <t>Attrition Count</t>
        </is>
      </c>
      <c r="B10">
        <f>COUNTIF(Cleaned_HR_Data!M5:M64,"Yes")</f>
        <v/>
      </c>
      <c r="C10" t="inlineStr">
        <is>
          <t>Attrition records</t>
        </is>
      </c>
    </row>
    <row r="11">
      <c r="A11" t="inlineStr">
        <is>
          <t>Attrition Rate (%)</t>
        </is>
      </c>
      <c r="B11">
        <f>COUNTIF(Cleaned_HR_Data!M5:M64,"Yes")/COUNTA(Cleaned_HR_Data!A5:A64)*100</f>
        <v/>
      </c>
      <c r="C11" t="inlineStr">
        <is>
          <t>Attrition / total employees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12" customWidth="1" min="8" max="8"/>
  </cols>
  <sheetData>
    <row r="1">
      <c r="A1" s="1" t="inlineStr">
        <is>
          <t>Pivot Department</t>
        </is>
      </c>
    </row>
    <row r="2"/>
    <row r="3"/>
    <row r="4">
      <c r="A4" s="3" t="inlineStr">
        <is>
          <t>Department</t>
        </is>
      </c>
      <c r="B4" s="3" t="inlineStr">
        <is>
          <t>Employee_Count</t>
        </is>
      </c>
      <c r="C4" s="3" t="inlineStr">
        <is>
          <t>Average_Salary</t>
        </is>
      </c>
      <c r="D4" s="3" t="inlineStr">
        <is>
          <t>Total_Salary</t>
        </is>
      </c>
      <c r="E4" s="3" t="inlineStr">
        <is>
          <t>Average_Experience</t>
        </is>
      </c>
      <c r="F4" s="3" t="inlineStr">
        <is>
          <t>Attrition_Count</t>
        </is>
      </c>
      <c r="G4" s="3" t="inlineStr">
        <is>
          <t>Attrition_Rate_%</t>
        </is>
      </c>
      <c r="H4" s="3" t="n"/>
    </row>
    <row r="5">
      <c r="A5">
        <f>'Department_Analysis'!A5</f>
        <v/>
      </c>
      <c r="B5">
        <f>'Department_Analysis'!B5</f>
        <v/>
      </c>
      <c r="C5">
        <f>'Department_Analysis'!C5</f>
        <v/>
      </c>
      <c r="D5">
        <f>'Department_Analysis'!D5</f>
        <v/>
      </c>
      <c r="E5">
        <f>'Department_Analysis'!E5</f>
        <v/>
      </c>
      <c r="F5">
        <f>'Department_Analysis'!F5</f>
        <v/>
      </c>
      <c r="G5">
        <f>'Department_Analysis'!G5</f>
        <v/>
      </c>
    </row>
    <row r="6">
      <c r="A6">
        <f>'Department_Analysis'!A6</f>
        <v/>
      </c>
      <c r="B6">
        <f>'Department_Analysis'!B6</f>
        <v/>
      </c>
      <c r="C6">
        <f>'Department_Analysis'!C6</f>
        <v/>
      </c>
      <c r="D6">
        <f>'Department_Analysis'!D6</f>
        <v/>
      </c>
      <c r="E6">
        <f>'Department_Analysis'!E6</f>
        <v/>
      </c>
      <c r="F6">
        <f>'Department_Analysis'!F6</f>
        <v/>
      </c>
      <c r="G6">
        <f>'Department_Analysis'!G6</f>
        <v/>
      </c>
    </row>
    <row r="7">
      <c r="A7">
        <f>'Department_Analysis'!A7</f>
        <v/>
      </c>
      <c r="B7">
        <f>'Department_Analysis'!B7</f>
        <v/>
      </c>
      <c r="C7">
        <f>'Department_Analysis'!C7</f>
        <v/>
      </c>
      <c r="D7">
        <f>'Department_Analysis'!D7</f>
        <v/>
      </c>
      <c r="E7">
        <f>'Department_Analysis'!E7</f>
        <v/>
      </c>
      <c r="F7">
        <f>'Department_Analysis'!F7</f>
        <v/>
      </c>
      <c r="G7">
        <f>'Department_Analysis'!G7</f>
        <v/>
      </c>
    </row>
    <row r="8">
      <c r="A8">
        <f>'Department_Analysis'!A8</f>
        <v/>
      </c>
      <c r="B8">
        <f>'Department_Analysis'!B8</f>
        <v/>
      </c>
      <c r="C8">
        <f>'Department_Analysis'!C8</f>
        <v/>
      </c>
      <c r="D8">
        <f>'Department_Analysis'!D8</f>
        <v/>
      </c>
      <c r="E8">
        <f>'Department_Analysis'!E8</f>
        <v/>
      </c>
      <c r="F8">
        <f>'Department_Analysis'!F8</f>
        <v/>
      </c>
      <c r="G8">
        <f>'Department_Analysis'!G8</f>
        <v/>
      </c>
    </row>
    <row r="9">
      <c r="A9">
        <f>'Department_Analysis'!A9</f>
        <v/>
      </c>
      <c r="B9">
        <f>'Department_Analysis'!B9</f>
        <v/>
      </c>
      <c r="C9">
        <f>'Department_Analysis'!C9</f>
        <v/>
      </c>
      <c r="D9">
        <f>'Department_Analysis'!D9</f>
        <v/>
      </c>
      <c r="E9">
        <f>'Department_Analysis'!E9</f>
        <v/>
      </c>
      <c r="F9">
        <f>'Department_Analysis'!F9</f>
        <v/>
      </c>
      <c r="G9">
        <f>'Department_Analysis'!G9</f>
        <v/>
      </c>
    </row>
    <row r="10">
      <c r="A10">
        <f>'Department_Analysis'!A10</f>
        <v/>
      </c>
      <c r="B10">
        <f>'Department_Analysis'!B10</f>
        <v/>
      </c>
      <c r="C10">
        <f>'Department_Analysis'!C10</f>
        <v/>
      </c>
      <c r="D10">
        <f>'Department_Analysis'!D10</f>
        <v/>
      </c>
      <c r="E10">
        <f>'Department_Analysis'!E10</f>
        <v/>
      </c>
      <c r="F10">
        <f>'Department_Analysis'!F10</f>
        <v/>
      </c>
      <c r="G10">
        <f>'Department_Analysis'!G10</f>
        <v/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Pivot Role</t>
        </is>
      </c>
    </row>
    <row r="2"/>
    <row r="3"/>
    <row r="4">
      <c r="A4" s="3" t="inlineStr">
        <is>
          <t>Job_Role</t>
        </is>
      </c>
      <c r="B4" s="3" t="inlineStr">
        <is>
          <t>Employee_Count</t>
        </is>
      </c>
      <c r="C4" s="3" t="inlineStr">
        <is>
          <t>Average_Salary</t>
        </is>
      </c>
      <c r="D4" s="3" t="inlineStr">
        <is>
          <t>Total_Salary</t>
        </is>
      </c>
      <c r="E4" s="3" t="inlineStr">
        <is>
          <t>Average_Experience</t>
        </is>
      </c>
      <c r="F4" s="3" t="n"/>
      <c r="G4" s="3" t="n"/>
      <c r="H4" s="3" t="n"/>
    </row>
    <row r="5">
      <c r="A5">
        <f>'Job_Role_Analysis'!A5</f>
        <v/>
      </c>
      <c r="B5">
        <f>'Job_Role_Analysis'!B5</f>
        <v/>
      </c>
      <c r="C5">
        <f>'Job_Role_Analysis'!C5</f>
        <v/>
      </c>
      <c r="D5">
        <f>'Job_Role_Analysis'!D5</f>
        <v/>
      </c>
      <c r="E5">
        <f>'Job_Role_Analysis'!E5</f>
        <v/>
      </c>
    </row>
    <row r="6">
      <c r="A6">
        <f>'Job_Role_Analysis'!A6</f>
        <v/>
      </c>
      <c r="B6">
        <f>'Job_Role_Analysis'!B6</f>
        <v/>
      </c>
      <c r="C6">
        <f>'Job_Role_Analysis'!C6</f>
        <v/>
      </c>
      <c r="D6">
        <f>'Job_Role_Analysis'!D6</f>
        <v/>
      </c>
      <c r="E6">
        <f>'Job_Role_Analysis'!E6</f>
        <v/>
      </c>
    </row>
    <row r="7">
      <c r="A7">
        <f>'Job_Role_Analysis'!A7</f>
        <v/>
      </c>
      <c r="B7">
        <f>'Job_Role_Analysis'!B7</f>
        <v/>
      </c>
      <c r="C7">
        <f>'Job_Role_Analysis'!C7</f>
        <v/>
      </c>
      <c r="D7">
        <f>'Job_Role_Analysis'!D7</f>
        <v/>
      </c>
      <c r="E7">
        <f>'Job_Role_Analysis'!E7</f>
        <v/>
      </c>
    </row>
    <row r="8">
      <c r="A8">
        <f>'Job_Role_Analysis'!A8</f>
        <v/>
      </c>
      <c r="B8">
        <f>'Job_Role_Analysis'!B8</f>
        <v/>
      </c>
      <c r="C8">
        <f>'Job_Role_Analysis'!C8</f>
        <v/>
      </c>
      <c r="D8">
        <f>'Job_Role_Analysis'!D8</f>
        <v/>
      </c>
      <c r="E8">
        <f>'Job_Role_Analysis'!E8</f>
        <v/>
      </c>
    </row>
    <row r="9">
      <c r="A9">
        <f>'Job_Role_Analysis'!A9</f>
        <v/>
      </c>
      <c r="B9">
        <f>'Job_Role_Analysis'!B9</f>
        <v/>
      </c>
      <c r="C9">
        <f>'Job_Role_Analysis'!C9</f>
        <v/>
      </c>
      <c r="D9">
        <f>'Job_Role_Analysis'!D9</f>
        <v/>
      </c>
      <c r="E9">
        <f>'Job_Role_Analysis'!E9</f>
        <v/>
      </c>
    </row>
    <row r="10">
      <c r="A10">
        <f>'Job_Role_Analysis'!A10</f>
        <v/>
      </c>
      <c r="B10">
        <f>'Job_Role_Analysis'!B10</f>
        <v/>
      </c>
      <c r="C10">
        <f>'Job_Role_Analysis'!C10</f>
        <v/>
      </c>
      <c r="D10">
        <f>'Job_Role_Analysis'!D10</f>
        <v/>
      </c>
      <c r="E10">
        <f>'Job_Role_Analysis'!E10</f>
        <v/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Chart Data</t>
        </is>
      </c>
    </row>
    <row r="2"/>
    <row r="3"/>
    <row r="4">
      <c r="A4" s="3" t="inlineStr">
        <is>
          <t>Department</t>
        </is>
      </c>
      <c r="B4" s="3" t="inlineStr">
        <is>
          <t>Employee_Count</t>
        </is>
      </c>
      <c r="C4" s="3" t="inlineStr">
        <is>
          <t>Average_Salary</t>
        </is>
      </c>
      <c r="D4" s="3" t="inlineStr">
        <is>
          <t>Attrition_Count</t>
        </is>
      </c>
      <c r="E4" s="3" t="n"/>
      <c r="F4" s="3" t="n"/>
      <c r="G4" s="3" t="n"/>
      <c r="H4" s="3" t="n"/>
    </row>
    <row r="5">
      <c r="A5" t="inlineStr">
        <is>
          <t>Sales</t>
        </is>
      </c>
      <c r="B5">
        <f>'Department_Analysis'!B5</f>
        <v/>
      </c>
      <c r="C5">
        <f>'Department_Analysis'!C5</f>
        <v/>
      </c>
      <c r="D5">
        <f>'Department_Analysis'!F5</f>
        <v/>
      </c>
    </row>
    <row r="6">
      <c r="A6" t="inlineStr">
        <is>
          <t>Finance</t>
        </is>
      </c>
      <c r="B6">
        <f>'Department_Analysis'!B6</f>
        <v/>
      </c>
      <c r="C6">
        <f>'Department_Analysis'!C6</f>
        <v/>
      </c>
      <c r="D6">
        <f>'Department_Analysis'!F6</f>
        <v/>
      </c>
    </row>
    <row r="7">
      <c r="A7" t="inlineStr">
        <is>
          <t>HR</t>
        </is>
      </c>
      <c r="B7">
        <f>'Department_Analysis'!B7</f>
        <v/>
      </c>
      <c r="C7">
        <f>'Department_Analysis'!C7</f>
        <v/>
      </c>
      <c r="D7">
        <f>'Department_Analysis'!F7</f>
        <v/>
      </c>
    </row>
    <row r="8">
      <c r="A8" t="inlineStr">
        <is>
          <t>IT</t>
        </is>
      </c>
      <c r="B8">
        <f>'Department_Analysis'!B8</f>
        <v/>
      </c>
      <c r="C8">
        <f>'Department_Analysis'!C8</f>
        <v/>
      </c>
      <c r="D8">
        <f>'Department_Analysis'!F8</f>
        <v/>
      </c>
    </row>
    <row r="9">
      <c r="A9" t="inlineStr">
        <is>
          <t>Marketing</t>
        </is>
      </c>
      <c r="B9">
        <f>'Department_Analysis'!B9</f>
        <v/>
      </c>
      <c r="C9">
        <f>'Department_Analysis'!C9</f>
        <v/>
      </c>
      <c r="D9">
        <f>'Department_Analysis'!F9</f>
        <v/>
      </c>
    </row>
    <row r="10">
      <c r="A10" t="inlineStr">
        <is>
          <t>Operations</t>
        </is>
      </c>
      <c r="B10">
        <f>'Department_Analysis'!B10</f>
        <v/>
      </c>
      <c r="C10">
        <f>'Department_Analysis'!C10</f>
        <v/>
      </c>
      <c r="D10">
        <f>'Department_Analysis'!F10</f>
        <v/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HR Analytics Charts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HR Business Insights</t>
        </is>
      </c>
    </row>
    <row r="2"/>
    <row r="3"/>
    <row r="4">
      <c r="A4" s="3" t="inlineStr">
        <is>
          <t>Insight Area</t>
        </is>
      </c>
      <c r="B4" s="3" t="inlineStr">
        <is>
          <t>Observation</t>
        </is>
      </c>
      <c r="C4" s="3" t="inlineStr">
        <is>
          <t>Business Interpretation</t>
        </is>
      </c>
      <c r="D4" s="3" t="n"/>
      <c r="E4" s="3" t="n"/>
      <c r="F4" s="3" t="n"/>
      <c r="G4" s="3" t="n"/>
      <c r="H4" s="3" t="n"/>
    </row>
    <row r="5">
      <c r="A5" t="inlineStr">
        <is>
          <t>Workforce Size</t>
        </is>
      </c>
      <c r="B5" t="inlineStr">
        <is>
          <t>Review total employee count</t>
        </is>
      </c>
      <c r="C5" t="inlineStr">
        <is>
          <t>Understand workforce scale</t>
        </is>
      </c>
    </row>
    <row r="6">
      <c r="A6" t="inlineStr">
        <is>
          <t>Department</t>
        </is>
      </c>
      <c r="B6" t="inlineStr">
        <is>
          <t>Compare employee counts</t>
        </is>
      </c>
      <c r="C6" t="inlineStr">
        <is>
          <t>Understand workforce distribution</t>
        </is>
      </c>
    </row>
    <row r="7">
      <c r="A7" t="inlineStr">
        <is>
          <t>Salary</t>
        </is>
      </c>
      <c r="B7" t="inlineStr">
        <is>
          <t>Compare salary metrics by department</t>
        </is>
      </c>
      <c r="C7" t="inlineStr">
        <is>
          <t>Understand salary cost distribution</t>
        </is>
      </c>
    </row>
    <row r="8">
      <c r="A8" t="inlineStr">
        <is>
          <t>Experience</t>
        </is>
      </c>
      <c r="B8" t="inlineStr">
        <is>
          <t>Compare average experience</t>
        </is>
      </c>
      <c r="C8" t="inlineStr">
        <is>
          <t>Understand workforce experience mix</t>
        </is>
      </c>
    </row>
    <row r="9">
      <c r="A9" t="inlineStr">
        <is>
          <t>Attrition</t>
        </is>
      </c>
      <c r="B9" t="inlineStr">
        <is>
          <t>Review attrition count and rate</t>
        </is>
      </c>
      <c r="C9" t="inlineStr">
        <is>
          <t>Identify areas for further HR review</t>
        </is>
      </c>
    </row>
    <row r="10">
      <c r="A10" t="inlineStr">
        <is>
          <t>Monthly Trend</t>
        </is>
      </c>
      <c r="B10" t="inlineStr">
        <is>
          <t>Review joining records over time</t>
        </is>
      </c>
      <c r="C10" t="inlineStr">
        <is>
          <t>Understand workforce changes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Final HR Analysis</t>
        </is>
      </c>
    </row>
    <row r="2"/>
    <row r="3"/>
    <row r="4">
      <c r="A4" s="3" t="inlineStr">
        <is>
          <t>Section</t>
        </is>
      </c>
      <c r="B4" s="3" t="inlineStr">
        <is>
          <t>Key Measure / Task</t>
        </is>
      </c>
      <c r="C4" s="3" t="n"/>
      <c r="D4" s="3" t="n"/>
      <c r="E4" s="3" t="n"/>
      <c r="F4" s="3" t="n"/>
      <c r="G4" s="3" t="n"/>
      <c r="H4" s="3" t="n"/>
    </row>
    <row r="5">
      <c r="A5" t="inlineStr">
        <is>
          <t>Data Quality</t>
        </is>
      </c>
      <c r="B5" t="inlineStr">
        <is>
          <t>Review missing, duplicate, inconsistent and invalid records</t>
        </is>
      </c>
    </row>
    <row r="6">
      <c r="A6" t="inlineStr">
        <is>
          <t>Workforce</t>
        </is>
      </c>
      <c r="B6" t="inlineStr">
        <is>
          <t>Total employees, age and experience</t>
        </is>
      </c>
    </row>
    <row r="7">
      <c r="A7" t="inlineStr">
        <is>
          <t>Department</t>
        </is>
      </c>
      <c r="B7" t="inlineStr">
        <is>
          <t>Employee count, salary, experience and attrition</t>
        </is>
      </c>
    </row>
    <row r="8">
      <c r="A8" t="inlineStr">
        <is>
          <t>Job Role</t>
        </is>
      </c>
      <c r="B8" t="inlineStr">
        <is>
          <t>Employee count, salary and experience</t>
        </is>
      </c>
    </row>
    <row r="9">
      <c r="A9" t="inlineStr">
        <is>
          <t>Salary</t>
        </is>
      </c>
      <c r="B9" t="inlineStr">
        <is>
          <t>Average, minimum, maximum and total salary</t>
        </is>
      </c>
    </row>
    <row r="10">
      <c r="A10" t="inlineStr">
        <is>
          <t>Attrition</t>
        </is>
      </c>
      <c r="B10" t="inlineStr">
        <is>
          <t>Attrition count and attrition rate</t>
        </is>
      </c>
    </row>
    <row r="11">
      <c r="A11" t="inlineStr">
        <is>
          <t>Monthly</t>
        </is>
      </c>
      <c r="B11" t="inlineStr">
        <is>
          <t>Joining records over time</t>
        </is>
      </c>
    </row>
    <row r="12">
      <c r="A12" t="inlineStr">
        <is>
          <t>KPI</t>
        </is>
      </c>
      <c r="B12" t="inlineStr">
        <is>
          <t>Core HR performance indicators</t>
        </is>
      </c>
    </row>
    <row r="13">
      <c r="A13" t="inlineStr">
        <is>
          <t>Visualisation</t>
        </is>
      </c>
      <c r="B13" t="inlineStr">
        <is>
          <t>Workforce, salary and attrition charts</t>
        </is>
      </c>
    </row>
    <row r="14">
      <c r="A14" t="inlineStr">
        <is>
          <t>Business Insights</t>
        </is>
      </c>
      <c r="B14" t="inlineStr">
        <is>
          <t>Interpret results using cleaned data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2026-09-18T01:35:37Z</dcterms:created>
  <dcterms:modified xmlns:dcterms="http://purl.org/dc/terms/" xmlns:xsi="http://www.w3.org/2001/XMLSchema-instance" xsi:type="dcterms:W3CDTF">2026-09-18T01:35:37Z</dcterms:modified>
</cp:coreProperties>
</file>