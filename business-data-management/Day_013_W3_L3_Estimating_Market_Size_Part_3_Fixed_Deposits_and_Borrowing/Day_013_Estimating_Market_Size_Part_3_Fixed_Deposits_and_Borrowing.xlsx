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_Survey_Data" sheetId="1" state="visible" r:id="rId1"/>
    <sheet xmlns:r="http://schemas.openxmlformats.org/officeDocument/2006/relationships" name="Market_Estimation" sheetId="2" state="visible" r:id="rId2"/>
    <sheet xmlns:r="http://schemas.openxmlformats.org/officeDocument/2006/relationships" name="Regional_Analysis" sheetId="3" state="visible" r:id="rId3"/>
    <sheet xmlns:r="http://schemas.openxmlformats.org/officeDocument/2006/relationships" name="Borrowing_Purpose" sheetId="4" state="visible" r:id="rId4"/>
    <sheet xmlns:r="http://schemas.openxmlformats.org/officeDocument/2006/relationships" name="Insights" sheetId="5" state="visible" r:id="rId5"/>
    <sheet xmlns:r="http://schemas.openxmlformats.org/officeDocument/2006/relationships" name="Practice" sheetId="6" state="visible" r:id="rId6"/>
    <sheet xmlns:r="http://schemas.openxmlformats.org/officeDocument/2006/relationships" name="Instru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  <col width="12" customWidth="1" min="10" max="10"/>
  </cols>
  <sheetData>
    <row r="1">
      <c r="A1" s="1" t="inlineStr">
        <is>
          <t>ID</t>
        </is>
      </c>
      <c r="B1" s="1" t="inlineStr">
        <is>
          <t>Region</t>
        </is>
      </c>
      <c r="C1" s="1" t="inlineStr">
        <is>
          <t>Age_Group</t>
        </is>
      </c>
      <c r="D1" s="1" t="inlineStr">
        <is>
          <t>Income</t>
        </is>
      </c>
      <c r="E1" s="1" t="inlineStr">
        <is>
          <t>Has_FD</t>
        </is>
      </c>
      <c r="F1" s="1" t="inlineStr">
        <is>
          <t>FD_Amount</t>
        </is>
      </c>
      <c r="G1" s="1" t="inlineStr">
        <is>
          <t>Plans_FD</t>
        </is>
      </c>
      <c r="H1" s="1" t="inlineStr">
        <is>
          <t>Borrowing</t>
        </is>
      </c>
      <c r="I1" s="1" t="inlineStr">
        <is>
          <t>Borrowing_Amount</t>
        </is>
      </c>
      <c r="J1" s="1" t="inlineStr">
        <is>
          <t>Purpose</t>
        </is>
      </c>
    </row>
    <row r="2">
      <c r="A2" t="inlineStr">
        <is>
          <t>R01</t>
        </is>
      </c>
      <c r="B2" t="inlineStr">
        <is>
          <t>North</t>
        </is>
      </c>
      <c r="C2" t="inlineStr">
        <is>
          <t>18-25</t>
        </is>
      </c>
      <c r="D2" s="2" t="n">
        <v>22000</v>
      </c>
      <c r="E2" t="inlineStr">
        <is>
          <t>No</t>
        </is>
      </c>
      <c r="F2" s="2" t="n">
        <v>0</v>
      </c>
      <c r="G2" t="inlineStr">
        <is>
          <t>Yes</t>
        </is>
      </c>
      <c r="H2" t="inlineStr">
        <is>
          <t>No</t>
        </is>
      </c>
      <c r="I2" s="2" t="n">
        <v>0</v>
      </c>
      <c r="J2" t="inlineStr">
        <is>
          <t>None</t>
        </is>
      </c>
    </row>
    <row r="3">
      <c r="A3" t="inlineStr">
        <is>
          <t>R02</t>
        </is>
      </c>
      <c r="B3" t="inlineStr">
        <is>
          <t>North</t>
        </is>
      </c>
      <c r="C3" t="inlineStr">
        <is>
          <t>26-35</t>
        </is>
      </c>
      <c r="D3" s="2" t="n">
        <v>36000</v>
      </c>
      <c r="E3" t="inlineStr">
        <is>
          <t>Yes</t>
        </is>
      </c>
      <c r="F3" s="2" t="n">
        <v>150000</v>
      </c>
      <c r="G3" t="inlineStr">
        <is>
          <t>No</t>
        </is>
      </c>
      <c r="H3" t="inlineStr">
        <is>
          <t>Yes</t>
        </is>
      </c>
      <c r="I3" s="2" t="n">
        <v>100000</v>
      </c>
      <c r="J3" t="inlineStr">
        <is>
          <t>Home</t>
        </is>
      </c>
    </row>
    <row r="4">
      <c r="A4" t="inlineStr">
        <is>
          <t>R03</t>
        </is>
      </c>
      <c r="B4" t="inlineStr">
        <is>
          <t>North</t>
        </is>
      </c>
      <c r="C4" t="inlineStr">
        <is>
          <t>36-45</t>
        </is>
      </c>
      <c r="D4" s="2" t="n">
        <v>48000</v>
      </c>
      <c r="E4" t="inlineStr">
        <is>
          <t>Yes</t>
        </is>
      </c>
      <c r="F4" s="2" t="n">
        <v>250000</v>
      </c>
      <c r="G4" t="inlineStr">
        <is>
          <t>Yes</t>
        </is>
      </c>
      <c r="H4" t="inlineStr">
        <is>
          <t>Yes</t>
        </is>
      </c>
      <c r="I4" s="2" t="n">
        <v>180000</v>
      </c>
      <c r="J4" t="inlineStr">
        <is>
          <t>Business</t>
        </is>
      </c>
    </row>
    <row r="5">
      <c r="A5" t="inlineStr">
        <is>
          <t>R04</t>
        </is>
      </c>
      <c r="B5" t="inlineStr">
        <is>
          <t>South</t>
        </is>
      </c>
      <c r="C5" t="inlineStr">
        <is>
          <t>18-25</t>
        </is>
      </c>
      <c r="D5" s="2" t="n">
        <v>24000</v>
      </c>
      <c r="E5" t="inlineStr">
        <is>
          <t>No</t>
        </is>
      </c>
      <c r="F5" s="2" t="n">
        <v>0</v>
      </c>
      <c r="G5" t="inlineStr">
        <is>
          <t>Yes</t>
        </is>
      </c>
      <c r="H5" t="inlineStr">
        <is>
          <t>Yes</t>
        </is>
      </c>
      <c r="I5" s="2" t="n">
        <v>60000</v>
      </c>
      <c r="J5" t="inlineStr">
        <is>
          <t>Education</t>
        </is>
      </c>
    </row>
    <row r="6">
      <c r="A6" t="inlineStr">
        <is>
          <t>R05</t>
        </is>
      </c>
      <c r="B6" t="inlineStr">
        <is>
          <t>South</t>
        </is>
      </c>
      <c r="C6" t="inlineStr">
        <is>
          <t>26-35</t>
        </is>
      </c>
      <c r="D6" s="2" t="n">
        <v>42000</v>
      </c>
      <c r="E6" t="inlineStr">
        <is>
          <t>Yes</t>
        </is>
      </c>
      <c r="F6" s="2" t="n">
        <v>200000</v>
      </c>
      <c r="G6" t="inlineStr">
        <is>
          <t>Yes</t>
        </is>
      </c>
      <c r="H6" t="inlineStr">
        <is>
          <t>No</t>
        </is>
      </c>
      <c r="I6" s="2" t="n">
        <v>0</v>
      </c>
      <c r="J6" t="inlineStr">
        <is>
          <t>None</t>
        </is>
      </c>
    </row>
    <row r="7">
      <c r="A7" t="inlineStr">
        <is>
          <t>R06</t>
        </is>
      </c>
      <c r="B7" t="inlineStr">
        <is>
          <t>South</t>
        </is>
      </c>
      <c r="C7" t="inlineStr">
        <is>
          <t>36-45</t>
        </is>
      </c>
      <c r="D7" s="2" t="n">
        <v>55000</v>
      </c>
      <c r="E7" t="inlineStr">
        <is>
          <t>Yes</t>
        </is>
      </c>
      <c r="F7" s="2" t="n">
        <v>350000</v>
      </c>
      <c r="G7" t="inlineStr">
        <is>
          <t>Yes</t>
        </is>
      </c>
      <c r="H7" t="inlineStr">
        <is>
          <t>Yes</t>
        </is>
      </c>
      <c r="I7" s="2" t="n">
        <v>250000</v>
      </c>
      <c r="J7" t="inlineStr">
        <is>
          <t>Home</t>
        </is>
      </c>
    </row>
    <row r="8">
      <c r="A8" t="inlineStr">
        <is>
          <t>R07</t>
        </is>
      </c>
      <c r="B8" t="inlineStr">
        <is>
          <t>East</t>
        </is>
      </c>
      <c r="C8" t="inlineStr">
        <is>
          <t>18-25</t>
        </is>
      </c>
      <c r="D8" s="2" t="n">
        <v>20000</v>
      </c>
      <c r="E8" t="inlineStr">
        <is>
          <t>No</t>
        </is>
      </c>
      <c r="F8" s="2" t="n">
        <v>0</v>
      </c>
      <c r="G8" t="inlineStr">
        <is>
          <t>Yes</t>
        </is>
      </c>
      <c r="H8" t="inlineStr">
        <is>
          <t>Yes</t>
        </is>
      </c>
      <c r="I8" s="2" t="n">
        <v>50000</v>
      </c>
      <c r="J8" t="inlineStr">
        <is>
          <t>Education</t>
        </is>
      </c>
    </row>
    <row r="9">
      <c r="A9" t="inlineStr">
        <is>
          <t>R08</t>
        </is>
      </c>
      <c r="B9" t="inlineStr">
        <is>
          <t>East</t>
        </is>
      </c>
      <c r="C9" t="inlineStr">
        <is>
          <t>26-35</t>
        </is>
      </c>
      <c r="D9" s="2" t="n">
        <v>33000</v>
      </c>
      <c r="E9" t="inlineStr">
        <is>
          <t>Yes</t>
        </is>
      </c>
      <c r="F9" s="2" t="n">
        <v>120000</v>
      </c>
      <c r="G9" t="inlineStr">
        <is>
          <t>Yes</t>
        </is>
      </c>
      <c r="H9" t="inlineStr">
        <is>
          <t>Yes</t>
        </is>
      </c>
      <c r="I9" s="2" t="n">
        <v>90000</v>
      </c>
      <c r="J9" t="inlineStr">
        <is>
          <t>Personal</t>
        </is>
      </c>
    </row>
    <row r="10">
      <c r="A10" t="inlineStr">
        <is>
          <t>R09</t>
        </is>
      </c>
      <c r="B10" t="inlineStr">
        <is>
          <t>East</t>
        </is>
      </c>
      <c r="C10" t="inlineStr">
        <is>
          <t>36-45</t>
        </is>
      </c>
      <c r="D10" s="2" t="n">
        <v>47000</v>
      </c>
      <c r="E10" t="inlineStr">
        <is>
          <t>Yes</t>
        </is>
      </c>
      <c r="F10" s="2" t="n">
        <v>275000</v>
      </c>
      <c r="G10" t="inlineStr">
        <is>
          <t>No</t>
        </is>
      </c>
      <c r="H10" t="inlineStr">
        <is>
          <t>Yes</t>
        </is>
      </c>
      <c r="I10" s="2" t="n">
        <v>160000</v>
      </c>
      <c r="J10" t="inlineStr">
        <is>
          <t>Business</t>
        </is>
      </c>
    </row>
    <row r="11">
      <c r="A11" t="inlineStr">
        <is>
          <t>R10</t>
        </is>
      </c>
      <c r="B11" t="inlineStr">
        <is>
          <t>West</t>
        </is>
      </c>
      <c r="C11" t="inlineStr">
        <is>
          <t>18-25</t>
        </is>
      </c>
      <c r="D11" s="2" t="n">
        <v>26000</v>
      </c>
      <c r="E11" t="inlineStr">
        <is>
          <t>No</t>
        </is>
      </c>
      <c r="F11" s="2" t="n">
        <v>0</v>
      </c>
      <c r="G11" t="inlineStr">
        <is>
          <t>Yes</t>
        </is>
      </c>
      <c r="H11" t="inlineStr">
        <is>
          <t>No</t>
        </is>
      </c>
      <c r="I11" s="2" t="n">
        <v>0</v>
      </c>
      <c r="J11" t="inlineStr">
        <is>
          <t>None</t>
        </is>
      </c>
    </row>
    <row r="12">
      <c r="A12" t="inlineStr">
        <is>
          <t>R11</t>
        </is>
      </c>
      <c r="B12" t="inlineStr">
        <is>
          <t>West</t>
        </is>
      </c>
      <c r="C12" t="inlineStr">
        <is>
          <t>26-35</t>
        </is>
      </c>
      <c r="D12" s="2" t="n">
        <v>39000</v>
      </c>
      <c r="E12" t="inlineStr">
        <is>
          <t>Yes</t>
        </is>
      </c>
      <c r="F12" s="2" t="n">
        <v>180000</v>
      </c>
      <c r="G12" t="inlineStr">
        <is>
          <t>Yes</t>
        </is>
      </c>
      <c r="H12" t="inlineStr">
        <is>
          <t>Yes</t>
        </is>
      </c>
      <c r="I12" s="2" t="n">
        <v>110000</v>
      </c>
      <c r="J12" t="inlineStr">
        <is>
          <t>Personal</t>
        </is>
      </c>
    </row>
    <row r="13">
      <c r="A13" t="inlineStr">
        <is>
          <t>R12</t>
        </is>
      </c>
      <c r="B13" t="inlineStr">
        <is>
          <t>West</t>
        </is>
      </c>
      <c r="C13" t="inlineStr">
        <is>
          <t>36-45</t>
        </is>
      </c>
      <c r="D13" s="2" t="n">
        <v>52000</v>
      </c>
      <c r="E13" t="inlineStr">
        <is>
          <t>Yes</t>
        </is>
      </c>
      <c r="F13" s="2" t="n">
        <v>300000</v>
      </c>
      <c r="G13" t="inlineStr">
        <is>
          <t>Yes</t>
        </is>
      </c>
      <c r="H13" t="inlineStr">
        <is>
          <t>Yes</t>
        </is>
      </c>
      <c r="I13" s="2" t="n">
        <v>220000</v>
      </c>
      <c r="J13" t="inlineStr">
        <is>
          <t>Business</t>
        </is>
      </c>
    </row>
    <row r="14">
      <c r="A14" t="inlineStr">
        <is>
          <t>R13</t>
        </is>
      </c>
      <c r="B14" t="inlineStr">
        <is>
          <t>Central</t>
        </is>
      </c>
      <c r="C14" t="inlineStr">
        <is>
          <t>18-25</t>
        </is>
      </c>
      <c r="D14" s="2" t="n">
        <v>23000</v>
      </c>
      <c r="E14" t="inlineStr">
        <is>
          <t>No</t>
        </is>
      </c>
      <c r="F14" s="2" t="n">
        <v>0</v>
      </c>
      <c r="G14" t="inlineStr">
        <is>
          <t>Yes</t>
        </is>
      </c>
      <c r="H14" t="inlineStr">
        <is>
          <t>Yes</t>
        </is>
      </c>
      <c r="I14" s="2" t="n">
        <v>55000</v>
      </c>
      <c r="J14" t="inlineStr">
        <is>
          <t>Education</t>
        </is>
      </c>
    </row>
    <row r="15">
      <c r="A15" t="inlineStr">
        <is>
          <t>R14</t>
        </is>
      </c>
      <c r="B15" t="inlineStr">
        <is>
          <t>Central</t>
        </is>
      </c>
      <c r="C15" t="inlineStr">
        <is>
          <t>26-35</t>
        </is>
      </c>
      <c r="D15" s="2" t="n">
        <v>35000</v>
      </c>
      <c r="E15" t="inlineStr">
        <is>
          <t>Yes</t>
        </is>
      </c>
      <c r="F15" s="2" t="n">
        <v>140000</v>
      </c>
      <c r="G15" t="inlineStr">
        <is>
          <t>Yes</t>
        </is>
      </c>
      <c r="H15" t="inlineStr">
        <is>
          <t>No</t>
        </is>
      </c>
      <c r="I15" s="2" t="n">
        <v>0</v>
      </c>
      <c r="J15" t="inlineStr">
        <is>
          <t>None</t>
        </is>
      </c>
    </row>
    <row r="16">
      <c r="A16" t="inlineStr">
        <is>
          <t>R15</t>
        </is>
      </c>
      <c r="B16" t="inlineStr">
        <is>
          <t>Central</t>
        </is>
      </c>
      <c r="C16" t="inlineStr">
        <is>
          <t>36-45</t>
        </is>
      </c>
      <c r="D16" s="2" t="n">
        <v>50000</v>
      </c>
      <c r="E16" t="inlineStr">
        <is>
          <t>Yes</t>
        </is>
      </c>
      <c r="F16" s="2" t="n">
        <v>280000</v>
      </c>
      <c r="G16" t="inlineStr">
        <is>
          <t>No</t>
        </is>
      </c>
      <c r="H16" t="inlineStr">
        <is>
          <t>Yes</t>
        </is>
      </c>
      <c r="I16" s="2" t="n">
        <v>190000</v>
      </c>
      <c r="J16" t="inlineStr">
        <is>
          <t>Home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32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Target Population</t>
        </is>
      </c>
      <c r="B2" t="n">
        <v>1000000</v>
      </c>
      <c r="C2" t="inlineStr">
        <is>
          <t>Illustrative target population</t>
        </is>
      </c>
    </row>
    <row r="3">
      <c r="A3" t="inlineStr">
        <is>
          <t>Sample Size</t>
        </is>
      </c>
      <c r="B3">
        <f>COUNTA(Financial_Survey_Data!A2:A16)</f>
        <v/>
      </c>
      <c r="C3" t="inlineStr">
        <is>
          <t>Survey respondents</t>
        </is>
      </c>
    </row>
    <row r="4">
      <c r="A4" t="inlineStr">
        <is>
          <t>Existing FD Count</t>
        </is>
      </c>
      <c r="B4">
        <f>COUNTIF(Financial_Survey_Data!E2:E16,"Yes")</f>
        <v/>
      </c>
      <c r="C4" t="inlineStr">
        <is>
          <t>Existing FD holders</t>
        </is>
      </c>
    </row>
    <row r="5">
      <c r="A5" t="inlineStr">
        <is>
          <t>Potential FD Count</t>
        </is>
      </c>
      <c r="B5">
        <f>COUNTIF(Financial_Survey_Data!G2:G16,"Yes")</f>
        <v/>
      </c>
      <c r="C5" t="inlineStr">
        <is>
          <t>Planning to invest</t>
        </is>
      </c>
    </row>
    <row r="6">
      <c r="A6" t="inlineStr">
        <is>
          <t>Existing FD Rate</t>
        </is>
      </c>
      <c r="B6" s="3">
        <f>B4/B3</f>
        <v/>
      </c>
      <c r="C6" t="inlineStr">
        <is>
          <t>Existing FD participation</t>
        </is>
      </c>
    </row>
    <row r="7">
      <c r="A7" t="inlineStr">
        <is>
          <t>Potential FD Rate</t>
        </is>
      </c>
      <c r="B7" s="3">
        <f>B5/B3</f>
        <v/>
      </c>
      <c r="C7" t="inlineStr">
        <is>
          <t>Potential investment rate</t>
        </is>
      </c>
    </row>
    <row r="8">
      <c r="A8" t="inlineStr">
        <is>
          <t>Potential FD Customers</t>
        </is>
      </c>
      <c r="B8">
        <f>B2*B7</f>
        <v/>
      </c>
      <c r="C8" t="inlineStr">
        <is>
          <t>Estimated customers</t>
        </is>
      </c>
    </row>
    <row r="9">
      <c r="A9" t="inlineStr">
        <is>
          <t>Average FD Amount</t>
        </is>
      </c>
      <c r="B9">
        <f>AVERAGEIF(Financial_Survey_Data!E2:E16,"Yes",Financial_Survey_Data!F2:F16)</f>
        <v/>
      </c>
      <c r="C9" t="inlineStr">
        <is>
          <t>Average FD</t>
        </is>
      </c>
    </row>
    <row r="10">
      <c r="A10" t="inlineStr">
        <is>
          <t>Potential FD Market</t>
        </is>
      </c>
      <c r="B10">
        <f>B8*B9</f>
        <v/>
      </c>
      <c r="C10" t="inlineStr">
        <is>
          <t>Estimated market value</t>
        </is>
      </c>
    </row>
    <row r="11">
      <c r="A11" t="inlineStr">
        <is>
          <t>Borrower Count</t>
        </is>
      </c>
      <c r="B11">
        <f>COUNTIF(Financial_Survey_Data!H2:H16,"Yes")</f>
        <v/>
      </c>
      <c r="C11" t="inlineStr">
        <is>
          <t>Existing borrowers</t>
        </is>
      </c>
    </row>
    <row r="12">
      <c r="A12" t="inlineStr">
        <is>
          <t>Borrowing Rate</t>
        </is>
      </c>
      <c r="B12" s="3">
        <f>B11/B3</f>
        <v/>
      </c>
      <c r="C12" t="inlineStr">
        <is>
          <t>Sample borrowing rate</t>
        </is>
      </c>
    </row>
    <row r="13">
      <c r="A13" t="inlineStr">
        <is>
          <t>Average Borrowing Amount</t>
        </is>
      </c>
      <c r="B13">
        <f>AVERAGEIF(Financial_Survey_Data!H2:H16,"Yes",Financial_Survey_Data!I2:I16)</f>
        <v/>
      </c>
      <c r="C13" t="inlineStr">
        <is>
          <t>Average borrowing</t>
        </is>
      </c>
    </row>
    <row r="14">
      <c r="A14" t="inlineStr">
        <is>
          <t>Potential Borrowers</t>
        </is>
      </c>
      <c r="B14">
        <f>B2*B12</f>
        <v/>
      </c>
      <c r="C14" t="inlineStr">
        <is>
          <t>Estimated borrowers</t>
        </is>
      </c>
    </row>
    <row r="15">
      <c r="A15" t="inlineStr">
        <is>
          <t>Potential Borrowing Market</t>
        </is>
      </c>
      <c r="B15">
        <f>B14*B13</f>
        <v/>
      </c>
      <c r="C15" t="inlineStr">
        <is>
          <t>Estimated borrowing market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19" customWidth="1" min="4" max="4"/>
    <col width="36" customWidth="1" min="5" max="5"/>
    <col width="19" customWidth="1" min="6" max="6"/>
    <col width="36" customWidth="1" min="7" max="7"/>
    <col width="36" customWidth="1" min="8" max="8"/>
  </cols>
  <sheetData>
    <row r="1">
      <c r="A1" s="1" t="inlineStr">
        <is>
          <t>Region</t>
        </is>
      </c>
      <c r="B1" s="1" t="inlineStr">
        <is>
          <t>Respondents</t>
        </is>
      </c>
      <c r="C1" s="1" t="inlineStr">
        <is>
          <t>FD_Count</t>
        </is>
      </c>
      <c r="D1" s="1" t="inlineStr">
        <is>
          <t>FD_Rate</t>
        </is>
      </c>
      <c r="E1" s="1" t="inlineStr">
        <is>
          <t>Borrowers</t>
        </is>
      </c>
      <c r="F1" s="1" t="inlineStr">
        <is>
          <t>Borrowing_Rate</t>
        </is>
      </c>
      <c r="G1" s="1" t="inlineStr">
        <is>
          <t>Avg_FD</t>
        </is>
      </c>
      <c r="H1" s="1" t="inlineStr">
        <is>
          <t>Avg_Borrowing</t>
        </is>
      </c>
    </row>
    <row r="2">
      <c r="A2" t="inlineStr">
        <is>
          <t>North</t>
        </is>
      </c>
      <c r="B2">
        <f>COUNTIF(Financial_Survey_Data!B2:B16,A2)</f>
        <v/>
      </c>
      <c r="C2">
        <f>COUNTIFS(Financial_Survey_Data!B2:B16,A2,Financial_Survey_Data!E2:E16,"Yes")</f>
        <v/>
      </c>
      <c r="D2" s="3">
        <f>IFERROR(C2/B2,0)</f>
        <v/>
      </c>
      <c r="E2">
        <f>COUNTIFS(Financial_Survey_Data!B2:B16,A2,Financial_Survey_Data!H2:H16,"Yes")</f>
        <v/>
      </c>
      <c r="F2" s="3">
        <f>IFERROR(E2/B2,0)</f>
        <v/>
      </c>
      <c r="G2" s="2">
        <f>IFERROR(AVERAGEIFS(Financial_Survey_Data!F2:F16,Financial_Survey_Data!B2:B16,A2,Financial_Survey_Data!E2:E16,"Yes"),0)</f>
        <v/>
      </c>
      <c r="H2" s="2">
        <f>IFERROR(AVERAGEIFS(Financial_Survey_Data!I2:I16,Financial_Survey_Data!B2:B16,A2,Financial_Survey_Data!H2:H16,"Yes"),0)</f>
        <v/>
      </c>
    </row>
    <row r="3">
      <c r="A3" t="inlineStr">
        <is>
          <t>South</t>
        </is>
      </c>
      <c r="B3">
        <f>COUNTIF(Financial_Survey_Data!B2:B16,A3)</f>
        <v/>
      </c>
      <c r="C3">
        <f>COUNTIFS(Financial_Survey_Data!B2:B16,A3,Financial_Survey_Data!E2:E16,"Yes")</f>
        <v/>
      </c>
      <c r="D3" s="3">
        <f>IFERROR(C3/B3,0)</f>
        <v/>
      </c>
      <c r="E3">
        <f>COUNTIFS(Financial_Survey_Data!B2:B16,A3,Financial_Survey_Data!H2:H16,"Yes")</f>
        <v/>
      </c>
      <c r="F3" s="3">
        <f>IFERROR(E3/B3,0)</f>
        <v/>
      </c>
      <c r="G3" s="2">
        <f>IFERROR(AVERAGEIFS(Financial_Survey_Data!F2:F16,Financial_Survey_Data!B2:B16,A3,Financial_Survey_Data!E2:E16,"Yes"),0)</f>
        <v/>
      </c>
      <c r="H3" s="2">
        <f>IFERROR(AVERAGEIFS(Financial_Survey_Data!I2:I16,Financial_Survey_Data!B2:B16,A3,Financial_Survey_Data!H2:H16,"Yes"),0)</f>
        <v/>
      </c>
    </row>
    <row r="4">
      <c r="A4" t="inlineStr">
        <is>
          <t>East</t>
        </is>
      </c>
      <c r="B4">
        <f>COUNTIF(Financial_Survey_Data!B2:B16,A4)</f>
        <v/>
      </c>
      <c r="C4">
        <f>COUNTIFS(Financial_Survey_Data!B2:B16,A4,Financial_Survey_Data!E2:E16,"Yes")</f>
        <v/>
      </c>
      <c r="D4" s="3">
        <f>IFERROR(C4/B4,0)</f>
        <v/>
      </c>
      <c r="E4">
        <f>COUNTIFS(Financial_Survey_Data!B2:B16,A4,Financial_Survey_Data!H2:H16,"Yes")</f>
        <v/>
      </c>
      <c r="F4" s="3">
        <f>IFERROR(E4/B4,0)</f>
        <v/>
      </c>
      <c r="G4" s="2">
        <f>IFERROR(AVERAGEIFS(Financial_Survey_Data!F2:F16,Financial_Survey_Data!B2:B16,A4,Financial_Survey_Data!E2:E16,"Yes"),0)</f>
        <v/>
      </c>
      <c r="H4" s="2">
        <f>IFERROR(AVERAGEIFS(Financial_Survey_Data!I2:I16,Financial_Survey_Data!B2:B16,A4,Financial_Survey_Data!H2:H16,"Yes"),0)</f>
        <v/>
      </c>
    </row>
    <row r="5">
      <c r="A5" t="inlineStr">
        <is>
          <t>West</t>
        </is>
      </c>
      <c r="B5">
        <f>COUNTIF(Financial_Survey_Data!B2:B16,A5)</f>
        <v/>
      </c>
      <c r="C5">
        <f>COUNTIFS(Financial_Survey_Data!B2:B16,A5,Financial_Survey_Data!E2:E16,"Yes")</f>
        <v/>
      </c>
      <c r="D5" s="3">
        <f>IFERROR(C5/B5,0)</f>
        <v/>
      </c>
      <c r="E5">
        <f>COUNTIFS(Financial_Survey_Data!B2:B16,A5,Financial_Survey_Data!H2:H16,"Yes")</f>
        <v/>
      </c>
      <c r="F5" s="3">
        <f>IFERROR(E5/B5,0)</f>
        <v/>
      </c>
      <c r="G5" s="2">
        <f>IFERROR(AVERAGEIFS(Financial_Survey_Data!F2:F16,Financial_Survey_Data!B2:B16,A5,Financial_Survey_Data!E2:E16,"Yes"),0)</f>
        <v/>
      </c>
      <c r="H5" s="2">
        <f>IFERROR(AVERAGEIFS(Financial_Survey_Data!I2:I16,Financial_Survey_Data!B2:B16,A5,Financial_Survey_Data!H2:H16,"Yes"),0)</f>
        <v/>
      </c>
    </row>
    <row r="6">
      <c r="A6" t="inlineStr">
        <is>
          <t>Central</t>
        </is>
      </c>
      <c r="B6">
        <f>COUNTIF(Financial_Survey_Data!B2:B16,A6)</f>
        <v/>
      </c>
      <c r="C6">
        <f>COUNTIFS(Financial_Survey_Data!B2:B16,A6,Financial_Survey_Data!E2:E16,"Yes")</f>
        <v/>
      </c>
      <c r="D6" s="3">
        <f>IFERROR(C6/B6,0)</f>
        <v/>
      </c>
      <c r="E6">
        <f>COUNTIFS(Financial_Survey_Data!B2:B16,A6,Financial_Survey_Data!H2:H16,"Yes")</f>
        <v/>
      </c>
      <c r="F6" s="3">
        <f>IFERROR(E6/B6,0)</f>
        <v/>
      </c>
      <c r="G6" s="2">
        <f>IFERROR(AVERAGEIFS(Financial_Survey_Data!F2:F16,Financial_Survey_Data!B2:B16,A6,Financial_Survey_Data!E2:E16,"Yes"),0)</f>
        <v/>
      </c>
      <c r="H6" s="2">
        <f>IFERROR(AVERAGEIFS(Financial_Survey_Data!I2:I16,Financial_Survey_Data!B2:B16,A6,Financial_Survey_Data!H2:H16,"Yes"),0)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36" customWidth="1" min="4" max="4"/>
  </cols>
  <sheetData>
    <row r="1">
      <c r="A1" s="1" t="inlineStr">
        <is>
          <t>Purpose</t>
        </is>
      </c>
      <c r="B1" s="1" t="inlineStr">
        <is>
          <t>Borrowers</t>
        </is>
      </c>
      <c r="C1" s="1" t="inlineStr">
        <is>
          <t>Total_Borrowing</t>
        </is>
      </c>
      <c r="D1" s="1" t="inlineStr">
        <is>
          <t>Average_Borrowing</t>
        </is>
      </c>
    </row>
    <row r="2">
      <c r="A2" t="inlineStr">
        <is>
          <t>Home</t>
        </is>
      </c>
      <c r="B2">
        <f>COUNTIF(Financial_Survey_Data!J2:J16,A2)</f>
        <v/>
      </c>
      <c r="C2">
        <f>SUMIF(Financial_Survey_Data!J2:J16,A2,Financial_Survey_Data!I2:I16)</f>
        <v/>
      </c>
      <c r="D2">
        <f>IFERROR(AVERAGEIF(Financial_Survey_Data!J2:J16,A2,Financial_Survey_Data!I2:I16),0)</f>
        <v/>
      </c>
    </row>
    <row r="3">
      <c r="A3" t="inlineStr">
        <is>
          <t>Business</t>
        </is>
      </c>
      <c r="B3">
        <f>COUNTIF(Financial_Survey_Data!J2:J16,A3)</f>
        <v/>
      </c>
      <c r="C3">
        <f>SUMIF(Financial_Survey_Data!J2:J16,A3,Financial_Survey_Data!I2:I16)</f>
        <v/>
      </c>
      <c r="D3">
        <f>IFERROR(AVERAGEIF(Financial_Survey_Data!J2:J16,A3,Financial_Survey_Data!I2:I16),0)</f>
        <v/>
      </c>
    </row>
    <row r="4">
      <c r="A4" t="inlineStr">
        <is>
          <t>Education</t>
        </is>
      </c>
      <c r="B4">
        <f>COUNTIF(Financial_Survey_Data!J2:J16,A4)</f>
        <v/>
      </c>
      <c r="C4">
        <f>SUMIF(Financial_Survey_Data!J2:J16,A4,Financial_Survey_Data!I2:I16)</f>
        <v/>
      </c>
      <c r="D4">
        <f>IFERROR(AVERAGEIF(Financial_Survey_Data!J2:J16,A4,Financial_Survey_Data!I2:I16),0)</f>
        <v/>
      </c>
    </row>
    <row r="5">
      <c r="A5" t="inlineStr">
        <is>
          <t>Personal</t>
        </is>
      </c>
      <c r="B5">
        <f>COUNTIF(Financial_Survey_Data!J2:J16,A5)</f>
        <v/>
      </c>
      <c r="C5">
        <f>SUMIF(Financial_Survey_Data!J2:J16,A5,Financial_Survey_Data!I2:I16)</f>
        <v/>
      </c>
      <c r="D5">
        <f>IFERROR(AVERAGEIF(Financial_Survey_Data!J2:J16,A5,Financial_Survey_Data!I2:I16),0)</f>
        <v/>
      </c>
    </row>
    <row r="6">
      <c r="A6" t="inlineStr">
        <is>
          <t>None</t>
        </is>
      </c>
      <c r="B6">
        <f>COUNTIF(Financial_Survey_Data!J2:J16,A6)</f>
        <v/>
      </c>
      <c r="C6">
        <f>SUMIF(Financial_Survey_Data!J2:J16,A6,Financial_Survey_Data!I2:I16)</f>
        <v/>
      </c>
      <c r="D6">
        <f>IFERROR(AVERAGEIF(Financial_Survey_Data!J2:J16,A6,Financial_Survey_Data!I2:I16),0)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3" customWidth="1" min="3" max="3"/>
  </cols>
  <sheetData>
    <row r="1">
      <c r="A1" s="1" t="inlineStr">
        <is>
          <t>Area</t>
        </is>
      </c>
      <c r="B1" s="1" t="inlineStr">
        <is>
          <t>Question</t>
        </is>
      </c>
      <c r="C1" s="1" t="inlineStr">
        <is>
          <t>Observation</t>
        </is>
      </c>
    </row>
    <row r="2">
      <c r="A2" t="inlineStr">
        <is>
          <t>Fixed Deposits</t>
        </is>
      </c>
      <c r="B2" t="inlineStr">
        <is>
          <t>What is the sample FD participation rate?</t>
        </is>
      </c>
      <c r="C2" t="inlineStr"/>
    </row>
    <row r="3">
      <c r="A3" t="inlineStr">
        <is>
          <t>FD Opportunity</t>
        </is>
      </c>
      <c r="B3" t="inlineStr">
        <is>
          <t>How large is the potential FD customer base?</t>
        </is>
      </c>
      <c r="C3" t="inlineStr"/>
    </row>
    <row r="4">
      <c r="A4" t="inlineStr">
        <is>
          <t>Borrowing</t>
        </is>
      </c>
      <c r="B4" t="inlineStr">
        <is>
          <t>What is the sample borrowing rate?</t>
        </is>
      </c>
      <c r="C4" t="inlineStr"/>
    </row>
    <row r="5">
      <c r="A5" t="inlineStr">
        <is>
          <t>Regional Pattern</t>
        </is>
      </c>
      <c r="B5" t="inlineStr">
        <is>
          <t>Which region shows the strongest pattern?</t>
        </is>
      </c>
      <c r="C5" t="inlineStr"/>
    </row>
    <row r="6">
      <c r="A6" t="inlineStr">
        <is>
          <t>Purpose</t>
        </is>
      </c>
      <c r="B6" t="inlineStr">
        <is>
          <t>Which borrowing purpose has the largest amount?</t>
        </is>
      </c>
      <c r="C6" t="inlineStr"/>
    </row>
    <row r="7">
      <c r="A7" t="inlineStr">
        <is>
          <t>Business</t>
        </is>
      </c>
      <c r="B7" t="inlineStr">
        <is>
          <t>What can a financial institution learn?</t>
        </is>
      </c>
      <c r="C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</cols>
  <sheetData>
    <row r="1">
      <c r="A1" s="1" t="inlineStr">
        <is>
          <t>No</t>
        </is>
      </c>
      <c r="B1" s="1" t="inlineStr">
        <is>
          <t>Task</t>
        </is>
      </c>
      <c r="C1" s="1" t="inlineStr">
        <is>
          <t>Output</t>
        </is>
      </c>
    </row>
    <row r="2">
      <c r="A2" t="n">
        <v>1</v>
      </c>
      <c r="B2" t="inlineStr">
        <is>
          <t>Calculate existing FD rate.</t>
        </is>
      </c>
      <c r="C2" t="inlineStr">
        <is>
          <t>Percentage</t>
        </is>
      </c>
    </row>
    <row r="3">
      <c r="A3" t="n">
        <v>2</v>
      </c>
      <c r="B3" t="inlineStr">
        <is>
          <t>Calculate potential FD rate.</t>
        </is>
      </c>
      <c r="C3" t="inlineStr">
        <is>
          <t>Percentage</t>
        </is>
      </c>
    </row>
    <row r="4">
      <c r="A4" t="n">
        <v>3</v>
      </c>
      <c r="B4" t="inlineStr">
        <is>
          <t>Estimate potential FD customers.</t>
        </is>
      </c>
      <c r="C4" t="inlineStr">
        <is>
          <t>Customers</t>
        </is>
      </c>
    </row>
    <row r="5">
      <c r="A5" t="n">
        <v>4</v>
      </c>
      <c r="B5" t="inlineStr">
        <is>
          <t>Calculate average FD amount.</t>
        </is>
      </c>
      <c r="C5" t="inlineStr">
        <is>
          <t>Average</t>
        </is>
      </c>
    </row>
    <row r="6">
      <c r="A6" t="n">
        <v>5</v>
      </c>
      <c r="B6" t="inlineStr">
        <is>
          <t>Estimate potential FD market.</t>
        </is>
      </c>
      <c r="C6" t="inlineStr">
        <is>
          <t>Value</t>
        </is>
      </c>
    </row>
    <row r="7">
      <c r="A7" t="n">
        <v>6</v>
      </c>
      <c r="B7" t="inlineStr">
        <is>
          <t>Calculate borrowing rate.</t>
        </is>
      </c>
      <c r="C7" t="inlineStr">
        <is>
          <t>Percentage</t>
        </is>
      </c>
    </row>
    <row r="8">
      <c r="A8" t="n">
        <v>7</v>
      </c>
      <c r="B8" t="inlineStr">
        <is>
          <t>Estimate potential borrowers.</t>
        </is>
      </c>
      <c r="C8" t="inlineStr">
        <is>
          <t>Customers</t>
        </is>
      </c>
    </row>
    <row r="9">
      <c r="A9" t="n">
        <v>8</v>
      </c>
      <c r="B9" t="inlineStr">
        <is>
          <t>Compare regions.</t>
        </is>
      </c>
      <c r="C9" t="inlineStr">
        <is>
          <t>Comparison</t>
        </is>
      </c>
    </row>
    <row r="10">
      <c r="A10" t="n">
        <v>9</v>
      </c>
      <c r="B10" t="inlineStr">
        <is>
          <t>Find the most common borrowing purpose.</t>
        </is>
      </c>
      <c r="C10" t="inlineStr">
        <is>
          <t>Purpose</t>
        </is>
      </c>
    </row>
    <row r="11">
      <c r="A11" t="n">
        <v>10</v>
      </c>
      <c r="B11" t="inlineStr">
        <is>
          <t>Write three business insights.</t>
        </is>
      </c>
      <c r="C11" t="inlineStr">
        <is>
          <t>3 insights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</cols>
  <sheetData>
    <row r="1">
      <c r="A1" s="1" t="inlineStr">
        <is>
          <t>Day</t>
        </is>
      </c>
      <c r="B1" s="1" t="inlineStr">
        <is>
          <t>013</t>
        </is>
      </c>
    </row>
    <row r="2">
      <c r="A2" t="inlineStr">
        <is>
          <t>Lecture</t>
        </is>
      </c>
      <c r="B2" t="inlineStr">
        <is>
          <t>W3_L3 — Fixed Deposits, Borrowing</t>
        </is>
      </c>
    </row>
    <row r="3">
      <c r="A3" t="inlineStr">
        <is>
          <t>Objective</t>
        </is>
      </c>
      <c r="B3" t="inlineStr">
        <is>
          <t>Estimate potential FD and borrowing markets from financial survey data.</t>
        </is>
      </c>
    </row>
    <row r="4">
      <c r="A4" t="inlineStr">
        <is>
          <t>Step 1</t>
        </is>
      </c>
      <c r="B4" t="inlineStr">
        <is>
          <t>Review Financial_Survey_Data.</t>
        </is>
      </c>
    </row>
    <row r="5">
      <c r="A5" t="inlineStr">
        <is>
          <t>Step 2</t>
        </is>
      </c>
      <c r="B5" t="inlineStr">
        <is>
          <t>Calculate FD participation and potential rates.</t>
        </is>
      </c>
    </row>
    <row r="6">
      <c r="A6" t="inlineStr">
        <is>
          <t>Step 3</t>
        </is>
      </c>
      <c r="B6" t="inlineStr">
        <is>
          <t>Estimate potential FD customers and market.</t>
        </is>
      </c>
    </row>
    <row r="7">
      <c r="A7" t="inlineStr">
        <is>
          <t>Step 4</t>
        </is>
      </c>
      <c r="B7" t="inlineStr">
        <is>
          <t>Calculate borrowing rate and potential borrowers.</t>
        </is>
      </c>
    </row>
    <row r="8">
      <c r="A8" t="inlineStr">
        <is>
          <t>Step 5</t>
        </is>
      </c>
      <c r="B8" t="inlineStr">
        <is>
          <t>Analyse regions and borrowing purposes.</t>
        </is>
      </c>
    </row>
    <row r="9">
      <c r="A9" t="inlineStr">
        <is>
          <t>Step 6</t>
        </is>
      </c>
      <c r="B9" t="inlineStr">
        <is>
          <t>Write insights.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2026-09-15T01:02:16Z</dcterms:created>
  <dcterms:modified xmlns:dcterms="http://purl.org/dc/terms/" xmlns:xsi="http://www.w3.org/2001/XMLSchema-instance" xsi:type="dcterms:W3CDTF">2026-09-15T01:02:16Z</dcterms:modified>
</cp:coreProperties>
</file>