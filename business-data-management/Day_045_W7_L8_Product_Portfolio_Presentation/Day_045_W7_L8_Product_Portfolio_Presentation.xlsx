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1da92a605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_Data" sheetId="1" r:id="Reced621039c04a44"/>
    <x:sheet xmlns:r="http://schemas.openxmlformats.org/officeDocument/2006/relationships" name="Product_Portfolio" sheetId="2" r:id="R8392cbb074f4458e"/>
    <x:sheet xmlns:r="http://schemas.openxmlformats.org/officeDocument/2006/relationships" name="Revenue_Presentation" sheetId="3" r:id="R6763e15a0af44ace"/>
    <x:sheet xmlns:r="http://schemas.openxmlformats.org/officeDocument/2006/relationships" name="Margin_Presentation" sheetId="4" r:id="R71aaa064255e402f"/>
    <x:sheet xmlns:r="http://schemas.openxmlformats.org/officeDocument/2006/relationships" name="Revenue_Share" sheetId="5" r:id="R67b8527461004c7d"/>
    <x:sheet xmlns:r="http://schemas.openxmlformats.org/officeDocument/2006/relationships" name="Presentation_Questions" sheetId="6" r:id="R0679af8a5fc34c2f"/>
    <x:sheet xmlns:r="http://schemas.openxmlformats.org/officeDocument/2006/relationships" name="Business_Insights" sheetId="7" r:id="R042b9a24c2fe4d84"/>
    <x:sheet xmlns:r="http://schemas.openxmlformats.org/officeDocument/2006/relationships" name="Data_Dictionary" sheetId="8" r:id="R53fc968f81f74750"/>
    <x:sheet xmlns:r="http://schemas.openxmlformats.org/officeDocument/2006/relationships" name="Presentation_Plan" sheetId="9" r:id="R310591f9aa4540fa"/>
    <x:sheet xmlns:r="http://schemas.openxmlformats.org/officeDocument/2006/relationships" name="Portfolio_Presentation_Dashboard" sheetId="10" r:id="R0de7b1864c60446d"/>
    <x:sheet xmlns:r="http://schemas.openxmlformats.org/officeDocument/2006/relationships" name="Operations_Presentation" sheetId="11" r:id="R378842d3cacf476e"/>
    <x:sheet xmlns:r="http://schemas.openxmlformats.org/officeDocument/2006/relationships" name="Instructions" sheetId="12" r:id="R6d50e37f1d6b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1" fontId="3" fillId="3" borderId="0" xfId="0" applyNumberFormat="1" applyFont="1" applyFill="1" applyBorder="1"/>
    <x:xf numFmtId="201" fontId="3" fillId="3" borderId="1" xfId="0" applyNumberFormat="1" applyFont="1" applyFill="1" applyBorder="1"/>
    <x:xf numFmtId="200" fontId="3" fillId="3" borderId="0" xfId="0" applyNumberFormat="1" applyFont="1" applyFill="1" applyBorder="1"/>
    <x:xf numFmtId="20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5d433d9d34cfb" /><Relationship Type="http://schemas.openxmlformats.org/officeDocument/2006/relationships/theme" Target="/xl/theme/theme1.xml" Id="R9e51a0fec06e4a0b" /><Relationship Type="http://schemas.openxmlformats.org/officeDocument/2006/relationships/sharedStrings" Target="/xl/sharedStrings.xml" Id="R1e4ee51a8da84f45" /><Relationship Type="http://schemas.openxmlformats.org/officeDocument/2006/relationships/worksheet" Target="/xl/worksheets/sheet1.xml" Id="Reced621039c04a44" /><Relationship Type="http://schemas.openxmlformats.org/officeDocument/2006/relationships/worksheet" Target="/xl/worksheets/sheet2.xml" Id="R8392cbb074f4458e" /><Relationship Type="http://schemas.openxmlformats.org/officeDocument/2006/relationships/worksheet" Target="/xl/worksheets/sheet3.xml" Id="R6763e15a0af44ace" /><Relationship Type="http://schemas.openxmlformats.org/officeDocument/2006/relationships/worksheet" Target="/xl/worksheets/sheet4.xml" Id="R71aaa064255e402f" /><Relationship Type="http://schemas.openxmlformats.org/officeDocument/2006/relationships/worksheet" Target="/xl/worksheets/sheet5.xml" Id="R67b8527461004c7d" /><Relationship Type="http://schemas.openxmlformats.org/officeDocument/2006/relationships/worksheet" Target="/xl/worksheets/sheet6.xml" Id="R0679af8a5fc34c2f" /><Relationship Type="http://schemas.openxmlformats.org/officeDocument/2006/relationships/worksheet" Target="/xl/worksheets/sheet7.xml" Id="R042b9a24c2fe4d84" /><Relationship Type="http://schemas.openxmlformats.org/officeDocument/2006/relationships/worksheet" Target="/xl/worksheets/sheet8.xml" Id="R53fc968f81f74750" /><Relationship Type="http://schemas.openxmlformats.org/officeDocument/2006/relationships/worksheet" Target="/xl/worksheets/sheet9.xml" Id="R310591f9aa4540fa" /><Relationship Type="http://schemas.openxmlformats.org/officeDocument/2006/relationships/worksheet" Target="/xl/worksheets/sheet10.xml" Id="R0de7b1864c60446d" /><Relationship Type="http://schemas.openxmlformats.org/officeDocument/2006/relationships/worksheet" Target="/xl/worksheets/sheet11.xml" Id="R378842d3cacf476e" /><Relationship Type="http://schemas.openxmlformats.org/officeDocument/2006/relationships/worksheet" Target="/xl/worksheets/sheet12.xml" Id="R6d50e37f1d6b4d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2d83cc14a346b1" /><Relationship Type="http://schemas.openxmlformats.org/officeDocument/2006/relationships/chart" Target="/xl/drawings/charts/chart2.xml" Id="Rc1d8dfbab1f143f7" /><Relationship Type="http://schemas.openxmlformats.org/officeDocument/2006/relationships/chart" Target="/xl/drawings/charts/chart3.xml" Id="R166a2e24b74c481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deb373ac96e46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Product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'Portfolio_Presentation_Dashboard'!$A$8:$A$10</c:f>
              <c:strCache>
                <c:ptCount val="0"/>
              </c:strCache>
            </c:strRef>
          </c:cat>
          <c:val>
            <c:numRef>
              <c:f>'Portfolio_Presentation_Dashboard'!$B$8:$B$10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Gross Margin by Product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'Portfolio_Presentation_Dashboard'!$A$8:$A$10</c:f>
              <c:strCache>
                <c:ptCount val="0"/>
              </c:strCache>
            </c:strRef>
          </c:cat>
          <c:val>
            <c:numRef>
              <c:f>'Portfolio_Presentation_Dashboard'!$B$8:$B$10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Gross Margin</c:v>
          </c:tx>
          <c:cat>
            <c:strRef>
              <c:f>'Portfolio_Presentation_Dashboard'!$A$8:$A$10</c:f>
              <c:strCache>
                <c:ptCount val="0"/>
              </c:strCache>
            </c:strRef>
          </c:cat>
          <c:val>
            <c:numRef>
              <c:f>'Portfolio_Presentation_Dashboard'!$C$8:$C$10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Share by Product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'Portfolio_Presentation_Dashboard'!$A$8:$A$10</c:f>
              <c:strCache>
                <c:ptCount val="0"/>
              </c:strCache>
            </c:strRef>
          </c:cat>
          <c:val>
            <c:numRef>
              <c:f>'Portfolio_Presentation_Dashboard'!$B$8:$B$10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Gross Margin</c:v>
          </c:tx>
          <c:cat>
            <c:strRef>
              <c:f>'Portfolio_Presentation_Dashboard'!$A$8:$A$10</c:f>
              <c:strCache>
                <c:ptCount val="0"/>
              </c:strCache>
            </c:strRef>
          </c:cat>
          <c:val>
            <c:numRef>
              <c:f>'Portfolio_Presentation_Dashboard'!$C$8:$C$10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Revenue Share %</c:v>
          </c:tx>
          <c:cat>
            <c:strRef>
              <c:f>'Portfolio_Presentation_Dashboard'!$A$8:$A$10</c:f>
              <c:strCache>
                <c:ptCount val="0"/>
              </c:strCache>
            </c:strRef>
          </c:cat>
          <c:val>
            <c:numRef>
              <c:f>'Portfolio_Presentation_Dashboard'!$D$8:$D$10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Production vs Sales by Product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Production Units</c:v>
          </c:tx>
          <c:cat>
            <c:strRef>
              <c:f>'Operations_Presentation'!$A$2:$A$4</c:f>
              <c:strCache>
                <c:ptCount val="0"/>
              </c:strCache>
            </c:strRef>
          </c:cat>
          <c:val>
            <c:numRef>
              <c:f>'Operations_Presentation'!$B$2:$B$4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Sales Units</c:v>
          </c:tx>
          <c:cat>
            <c:strRef>
              <c:f>'Operations_Presentation'!$A$2:$A$4</c:f>
              <c:strCache>
                <c:ptCount val="0"/>
              </c:strCache>
            </c:strRef>
          </c:cat>
          <c:val>
            <c:numRef>
              <c:f>'Operations_Presentation'!$C$2:$C$4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6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2d83cc14a346b1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d8dfbab1f143f7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6a2e24b74c48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eb373ac96e461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e4846a174bca4e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06b061fc2951457a" /></Relationships>
</file>

<file path=xl/worksheets/sheet1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3.880000114440918" hidden="0" customWidth="1"/>
    <x:col min="7" max="7" width="9.380000114440918" hidden="0" customWidth="1"/>
    <x:col min="8" max="8" width="9.630000114440918" hidden="0" customWidth="1"/>
    <x:col min="9" max="9" width="14.25" hidden="0" customWidth="1"/>
    <x:col min="10" max="10" width="7.130000114440918" hidden="0" customWidth="1"/>
    <x:col min="11" max="11" width="13.130000114440918" hidden="0" customWidth="1"/>
  </x:cols>
  <x:sheetData>
    <x:row r="1">
      <x:c r="A1" s="10" t="str">
        <x:v>Record_ID</x:v>
      </x:c>
      <x:c r="B1" s="10" t="str">
        <x:v>Month</x:v>
      </x:c>
      <x:c r="C1" s="10" t="str">
        <x:v>Product</x:v>
      </x:c>
      <x:c r="D1" s="10" t="str">
        <x:v>Region</x:v>
      </x:c>
      <x:c r="E1" s="10" t="str">
        <x:v>Customer_Type</x:v>
      </x:c>
      <x:c r="F1" s="10" t="str">
        <x:v>Production_Units</x:v>
      </x:c>
      <x:c r="G1" s="10" t="str">
        <x:v>Sales_Units</x:v>
      </x:c>
      <x:c r="H1" s="10" t="str">
        <x:v>Scrap_Units</x:v>
      </x:c>
      <x:c r="I1" s="10" t="str">
        <x:v>Closing_Inventory</x:v>
      </x:c>
      <x:c r="J1" s="10" t="str">
        <x:v>Revenue</x:v>
      </x:c>
      <x:c r="K1" s="10" t="str">
        <x:v>Production_Cost</x:v>
      </x:c>
    </x:row>
    <x:row r="2">
      <x:c r="A2" s="11" t="n">
        <x:v>1</x:v>
      </x:c>
      <x:c r="B2" s="11" t="str">
        <x:v>2023-01</x:v>
      </x:c>
      <x:c r="C2" s="11" t="str">
        <x:v>Gears</x:v>
      </x:c>
      <x:c r="D2" s="11" t="str">
        <x:v>North</x:v>
      </x:c>
      <x:c r="E2" s="11" t="str">
        <x:v>OEM</x:v>
      </x:c>
      <x:c r="F2" s="11" t="n">
        <x:v>1144</x:v>
      </x:c>
      <x:c r="G2" s="11" t="n">
        <x:v>1006</x:v>
      </x:c>
      <x:c r="H2" s="11" t="n">
        <x:v>32</x:v>
      </x:c>
      <x:c r="I2" s="11" t="n">
        <x:v>1098</x:v>
      </x:c>
      <x:c r="J2" s="11" t="n">
        <x:v>540000</x:v>
      </x:c>
      <x:c r="K2" s="11" t="n">
        <x:v>378000</x:v>
      </x:c>
    </x:row>
    <x:row r="3">
      <x:c r="A3" s="11" t="n">
        <x:v>2</x:v>
      </x:c>
      <x:c r="B3" s="11" t="str">
        <x:v>2023-01</x:v>
      </x:c>
      <x:c r="C3" s="11" t="str">
        <x:v>Gears</x:v>
      </x:c>
      <x:c r="D3" s="11" t="str">
        <x:v>South</x:v>
      </x:c>
      <x:c r="E3" s="11" t="str">
        <x:v>Distributor</x:v>
      </x:c>
      <x:c r="F3" s="11" t="n">
        <x:v>1144</x:v>
      </x:c>
      <x:c r="G3" s="11" t="n">
        <x:v>1006</x:v>
      </x:c>
      <x:c r="H3" s="11" t="n">
        <x:v>32</x:v>
      </x:c>
      <x:c r="I3" s="11" t="n">
        <x:v>1098</x:v>
      </x:c>
      <x:c r="J3" s="11" t="n">
        <x:v>470000</x:v>
      </x:c>
      <x:c r="K3" s="11" t="n">
        <x:v>329000</x:v>
      </x:c>
    </x:row>
    <x:row r="4">
      <x:c r="A4" s="11" t="n">
        <x:v>3</x:v>
      </x:c>
      <x:c r="B4" s="11" t="str">
        <x:v>2023-01</x:v>
      </x:c>
      <x:c r="C4" s="11" t="str">
        <x:v>Shafts</x:v>
      </x:c>
      <x:c r="D4" s="11" t="str">
        <x:v>North</x:v>
      </x:c>
      <x:c r="E4" s="11" t="str">
        <x:v>OEM</x:v>
      </x:c>
      <x:c r="F4" s="11" t="n">
        <x:v>1078</x:v>
      </x:c>
      <x:c r="G4" s="11" t="n">
        <x:v>937</x:v>
      </x:c>
      <x:c r="H4" s="11" t="n">
        <x:v>29</x:v>
      </x:c>
      <x:c r="I4" s="11" t="n">
        <x:v>1034</x:v>
      </x:c>
      <x:c r="J4" s="11" t="n">
        <x:v>430000</x:v>
      </x:c>
      <x:c r="K4" s="11" t="n">
        <x:v>309600</x:v>
      </x:c>
    </x:row>
    <x:row r="5">
      <x:c r="A5" s="11" t="n">
        <x:v>4</x:v>
      </x:c>
      <x:c r="B5" s="11" t="str">
        <x:v>2023-01</x:v>
      </x:c>
      <x:c r="C5" s="11" t="str">
        <x:v>Shafts</x:v>
      </x:c>
      <x:c r="D5" s="11" t="str">
        <x:v>West</x:v>
      </x:c>
      <x:c r="E5" s="11" t="str">
        <x:v>Distributor</x:v>
      </x:c>
      <x:c r="F5" s="11" t="n">
        <x:v>1078</x:v>
      </x:c>
      <x:c r="G5" s="11" t="n">
        <x:v>937</x:v>
      </x:c>
      <x:c r="H5" s="11" t="n">
        <x:v>29</x:v>
      </x:c>
      <x:c r="I5" s="11" t="n">
        <x:v>1034</x:v>
      </x:c>
      <x:c r="J5" s="11" t="n">
        <x:v>395000</x:v>
      </x:c>
      <x:c r="K5" s="11" t="n">
        <x:v>284400</x:v>
      </x:c>
    </x:row>
    <x:row r="6">
      <x:c r="A6" s="11" t="n">
        <x:v>5</x:v>
      </x:c>
      <x:c r="B6" s="11" t="str">
        <x:v>2023-01</x:v>
      </x:c>
      <x:c r="C6" s="11" t="str">
        <x:v>Bearings</x:v>
      </x:c>
      <x:c r="D6" s="11" t="str">
        <x:v>South</x:v>
      </x:c>
      <x:c r="E6" s="11" t="str">
        <x:v>OEM</x:v>
      </x:c>
      <x:c r="F6" s="11" t="n">
        <x:v>1100</x:v>
      </x:c>
      <x:c r="G6" s="11" t="n">
        <x:v>946</x:v>
      </x:c>
      <x:c r="H6" s="11" t="n">
        <x:v>31</x:v>
      </x:c>
      <x:c r="I6" s="11" t="n">
        <x:v>1056</x:v>
      </x:c>
      <x:c r="J6" s="11" t="n">
        <x:v>384000</x:v>
      </x:c>
      <x:c r="K6" s="11" t="n">
        <x:v>288000</x:v>
      </x:c>
    </x:row>
    <x:row r="7">
      <x:c r="A7" s="11" t="n">
        <x:v>6</x:v>
      </x:c>
      <x:c r="B7" s="11" t="str">
        <x:v>2023-01</x:v>
      </x:c>
      <x:c r="C7" s="11" t="str">
        <x:v>Bearings</x:v>
      </x:c>
      <x:c r="D7" s="11" t="str">
        <x:v>West</x:v>
      </x:c>
      <x:c r="E7" s="11" t="str">
        <x:v>Distributor</x:v>
      </x:c>
      <x:c r="F7" s="11" t="n">
        <x:v>1100</x:v>
      </x:c>
      <x:c r="G7" s="11" t="n">
        <x:v>946</x:v>
      </x:c>
      <x:c r="H7" s="11" t="n">
        <x:v>31</x:v>
      </x:c>
      <x:c r="I7" s="11" t="n">
        <x:v>1056</x:v>
      </x:c>
      <x:c r="J7" s="11" t="n">
        <x:v>360000</x:v>
      </x:c>
      <x:c r="K7" s="11" t="n">
        <x:v>270000</x:v>
      </x:c>
    </x:row>
    <x:row r="8">
      <x:c r="A8" s="11" t="n">
        <x:v>7</x:v>
      </x:c>
      <x:c r="B8" s="11" t="str">
        <x:v>2023-02</x:v>
      </x:c>
      <x:c r="C8" s="11" t="str">
        <x:v>Gears</x:v>
      </x:c>
      <x:c r="D8" s="11" t="str">
        <x:v>North</x:v>
      </x:c>
      <x:c r="E8" s="11" t="str">
        <x:v>OEM</x:v>
      </x:c>
      <x:c r="F8" s="11" t="n">
        <x:v>1189</x:v>
      </x:c>
      <x:c r="G8" s="11" t="n">
        <x:v>1046</x:v>
      </x:c>
      <x:c r="H8" s="11" t="n">
        <x:v>33</x:v>
      </x:c>
      <x:c r="I8" s="11" t="n">
        <x:v>1141</x:v>
      </x:c>
      <x:c r="J8" s="11" t="n">
        <x:v>561600</x:v>
      </x:c>
      <x:c r="K8" s="11" t="n">
        <x:v>393120</x:v>
      </x:c>
    </x:row>
    <x:row r="9">
      <x:c r="A9" s="11" t="n">
        <x:v>8</x:v>
      </x:c>
      <x:c r="B9" s="11" t="str">
        <x:v>2023-02</x:v>
      </x:c>
      <x:c r="C9" s="11" t="str">
        <x:v>Gears</x:v>
      </x:c>
      <x:c r="D9" s="11" t="str">
        <x:v>South</x:v>
      </x:c>
      <x:c r="E9" s="11" t="str">
        <x:v>Distributor</x:v>
      </x:c>
      <x:c r="F9" s="11" t="n">
        <x:v>1189</x:v>
      </x:c>
      <x:c r="G9" s="11" t="n">
        <x:v>1046</x:v>
      </x:c>
      <x:c r="H9" s="11" t="n">
        <x:v>33</x:v>
      </x:c>
      <x:c r="I9" s="11" t="n">
        <x:v>1141</x:v>
      </x:c>
      <x:c r="J9" s="11" t="n">
        <x:v>488800</x:v>
      </x:c>
      <x:c r="K9" s="11" t="n">
        <x:v>342160</x:v>
      </x:c>
    </x:row>
    <x:row r="10">
      <x:c r="A10" s="11" t="n">
        <x:v>9</x:v>
      </x:c>
      <x:c r="B10" s="11" t="str">
        <x:v>2023-02</x:v>
      </x:c>
      <x:c r="C10" s="11" t="str">
        <x:v>Shafts</x:v>
      </x:c>
      <x:c r="D10" s="11" t="str">
        <x:v>North</x:v>
      </x:c>
      <x:c r="E10" s="11" t="str">
        <x:v>OEM</x:v>
      </x:c>
      <x:c r="F10" s="11" t="n">
        <x:v>1121</x:v>
      </x:c>
      <x:c r="G10" s="11" t="n">
        <x:v>975</x:v>
      </x:c>
      <x:c r="H10" s="11" t="n">
        <x:v>30</x:v>
      </x:c>
      <x:c r="I10" s="11" t="n">
        <x:v>1076</x:v>
      </x:c>
      <x:c r="J10" s="11" t="n">
        <x:v>447200</x:v>
      </x:c>
      <x:c r="K10" s="11" t="n">
        <x:v>321984</x:v>
      </x:c>
    </x:row>
    <x:row r="11">
      <x:c r="A11" s="11" t="n">
        <x:v>10</x:v>
      </x:c>
      <x:c r="B11" s="11" t="str">
        <x:v>2023-02</x:v>
      </x:c>
      <x:c r="C11" s="11" t="str">
        <x:v>Shafts</x:v>
      </x:c>
      <x:c r="D11" s="11" t="str">
        <x:v>West</x:v>
      </x:c>
      <x:c r="E11" s="11" t="str">
        <x:v>Distributor</x:v>
      </x:c>
      <x:c r="F11" s="11" t="n">
        <x:v>1121</x:v>
      </x:c>
      <x:c r="G11" s="11" t="n">
        <x:v>975</x:v>
      </x:c>
      <x:c r="H11" s="11" t="n">
        <x:v>30</x:v>
      </x:c>
      <x:c r="I11" s="11" t="n">
        <x:v>1076</x:v>
      </x:c>
      <x:c r="J11" s="11" t="n">
        <x:v>410800</x:v>
      </x:c>
      <x:c r="K11" s="11" t="n">
        <x:v>295776</x:v>
      </x:c>
    </x:row>
    <x:row r="12">
      <x:c r="A12" s="11" t="n">
        <x:v>11</x:v>
      </x:c>
      <x:c r="B12" s="11" t="str">
        <x:v>2023-02</x:v>
      </x:c>
      <x:c r="C12" s="11" t="str">
        <x:v>Bearings</x:v>
      </x:c>
      <x:c r="D12" s="11" t="str">
        <x:v>South</x:v>
      </x:c>
      <x:c r="E12" s="11" t="str">
        <x:v>OEM</x:v>
      </x:c>
      <x:c r="F12" s="11" t="n">
        <x:v>1144</x:v>
      </x:c>
      <x:c r="G12" s="11" t="n">
        <x:v>983</x:v>
      </x:c>
      <x:c r="H12" s="11" t="n">
        <x:v>33</x:v>
      </x:c>
      <x:c r="I12" s="11" t="n">
        <x:v>1098</x:v>
      </x:c>
      <x:c r="J12" s="11" t="n">
        <x:v>399360</x:v>
      </x:c>
      <x:c r="K12" s="11" t="n">
        <x:v>299520</x:v>
      </x:c>
    </x:row>
    <x:row r="13">
      <x:c r="A13" s="11" t="n">
        <x:v>12</x:v>
      </x:c>
      <x:c r="B13" s="11" t="str">
        <x:v>2023-02</x:v>
      </x:c>
      <x:c r="C13" s="11" t="str">
        <x:v>Bearings</x:v>
      </x:c>
      <x:c r="D13" s="11" t="str">
        <x:v>West</x:v>
      </x:c>
      <x:c r="E13" s="11" t="str">
        <x:v>Distributor</x:v>
      </x:c>
      <x:c r="F13" s="11" t="n">
        <x:v>1144</x:v>
      </x:c>
      <x:c r="G13" s="11" t="n">
        <x:v>983</x:v>
      </x:c>
      <x:c r="H13" s="11" t="n">
        <x:v>33</x:v>
      </x:c>
      <x:c r="I13" s="11" t="n">
        <x:v>1098</x:v>
      </x:c>
      <x:c r="J13" s="11" t="n">
        <x:v>374400</x:v>
      </x:c>
      <x:c r="K13" s="11" t="n">
        <x:v>280800</x:v>
      </x:c>
    </x:row>
    <x:row r="14">
      <x:c r="A14" s="11" t="n">
        <x:v>13</x:v>
      </x:c>
      <x:c r="B14" s="11" t="str">
        <x:v>2023-03</x:v>
      </x:c>
      <x:c r="C14" s="11" t="str">
        <x:v>Gears</x:v>
      </x:c>
      <x:c r="D14" s="11" t="str">
        <x:v>North</x:v>
      </x:c>
      <x:c r="E14" s="11" t="str">
        <x:v>OEM</x:v>
      </x:c>
      <x:c r="F14" s="11" t="n">
        <x:v>1235</x:v>
      </x:c>
      <x:c r="G14" s="11" t="n">
        <x:v>1086</x:v>
      </x:c>
      <x:c r="H14" s="11" t="n">
        <x:v>34</x:v>
      </x:c>
      <x:c r="I14" s="11" t="n">
        <x:v>1185</x:v>
      </x:c>
      <x:c r="J14" s="11" t="n">
        <x:v>583200</x:v>
      </x:c>
      <x:c r="K14" s="11" t="n">
        <x:v>408240</x:v>
      </x:c>
    </x:row>
    <x:row r="15">
      <x:c r="A15" s="11" t="n">
        <x:v>14</x:v>
      </x:c>
      <x:c r="B15" s="11" t="str">
        <x:v>2023-03</x:v>
      </x:c>
      <x:c r="C15" s="11" t="str">
        <x:v>Gears</x:v>
      </x:c>
      <x:c r="D15" s="11" t="str">
        <x:v>South</x:v>
      </x:c>
      <x:c r="E15" s="11" t="str">
        <x:v>Distributor</x:v>
      </x:c>
      <x:c r="F15" s="11" t="n">
        <x:v>1235</x:v>
      </x:c>
      <x:c r="G15" s="11" t="n">
        <x:v>1086</x:v>
      </x:c>
      <x:c r="H15" s="11" t="n">
        <x:v>34</x:v>
      </x:c>
      <x:c r="I15" s="11" t="n">
        <x:v>1185</x:v>
      </x:c>
      <x:c r="J15" s="11" t="n">
        <x:v>507600</x:v>
      </x:c>
      <x:c r="K15" s="11" t="n">
        <x:v>355320</x:v>
      </x:c>
    </x:row>
    <x:row r="16">
      <x:c r="A16" s="11" t="n">
        <x:v>15</x:v>
      </x:c>
      <x:c r="B16" s="11" t="str">
        <x:v>2023-03</x:v>
      </x:c>
      <x:c r="C16" s="11" t="str">
        <x:v>Shafts</x:v>
      </x:c>
      <x:c r="D16" s="11" t="str">
        <x:v>North</x:v>
      </x:c>
      <x:c r="E16" s="11" t="str">
        <x:v>OEM</x:v>
      </x:c>
      <x:c r="F16" s="11" t="n">
        <x:v>1164</x:v>
      </x:c>
      <x:c r="G16" s="11" t="n">
        <x:v>1012</x:v>
      </x:c>
      <x:c r="H16" s="11" t="n">
        <x:v>31</x:v>
      </x:c>
      <x:c r="I16" s="11" t="n">
        <x:v>1117</x:v>
      </x:c>
      <x:c r="J16" s="11" t="n">
        <x:v>464400</x:v>
      </x:c>
      <x:c r="K16" s="11" t="n">
        <x:v>334368</x:v>
      </x:c>
    </x:row>
    <x:row r="17">
      <x:c r="A17" s="11" t="n">
        <x:v>16</x:v>
      </x:c>
      <x:c r="B17" s="11" t="str">
        <x:v>2023-03</x:v>
      </x:c>
      <x:c r="C17" s="11" t="str">
        <x:v>Shafts</x:v>
      </x:c>
      <x:c r="D17" s="11" t="str">
        <x:v>West</x:v>
      </x:c>
      <x:c r="E17" s="11" t="str">
        <x:v>Distributor</x:v>
      </x:c>
      <x:c r="F17" s="11" t="n">
        <x:v>1164</x:v>
      </x:c>
      <x:c r="G17" s="11" t="n">
        <x:v>1012</x:v>
      </x:c>
      <x:c r="H17" s="11" t="n">
        <x:v>31</x:v>
      </x:c>
      <x:c r="I17" s="11" t="n">
        <x:v>1117</x:v>
      </x:c>
      <x:c r="J17" s="11" t="n">
        <x:v>426600</x:v>
      </x:c>
      <x:c r="K17" s="11" t="n">
        <x:v>307152</x:v>
      </x:c>
    </x:row>
    <x:row r="18">
      <x:c r="A18" s="11" t="n">
        <x:v>17</x:v>
      </x:c>
      <x:c r="B18" s="11" t="str">
        <x:v>2023-03</x:v>
      </x:c>
      <x:c r="C18" s="11" t="str">
        <x:v>Bearings</x:v>
      </x:c>
      <x:c r="D18" s="11" t="str">
        <x:v>South</x:v>
      </x:c>
      <x:c r="E18" s="11" t="str">
        <x:v>OEM</x:v>
      </x:c>
      <x:c r="F18" s="11" t="n">
        <x:v>1188</x:v>
      </x:c>
      <x:c r="G18" s="11" t="n">
        <x:v>1021</x:v>
      </x:c>
      <x:c r="H18" s="11" t="n">
        <x:v>34</x:v>
      </x:c>
      <x:c r="I18" s="11" t="n">
        <x:v>1140</x:v>
      </x:c>
      <x:c r="J18" s="11" t="n">
        <x:v>414720</x:v>
      </x:c>
      <x:c r="K18" s="11" t="n">
        <x:v>311040</x:v>
      </x:c>
    </x:row>
    <x:row r="19">
      <x:c r="A19" s="11" t="n">
        <x:v>18</x:v>
      </x:c>
      <x:c r="B19" s="11" t="str">
        <x:v>2023-03</x:v>
      </x:c>
      <x:c r="C19" s="11" t="str">
        <x:v>Bearings</x:v>
      </x:c>
      <x:c r="D19" s="11" t="str">
        <x:v>West</x:v>
      </x:c>
      <x:c r="E19" s="11" t="str">
        <x:v>Distributor</x:v>
      </x:c>
      <x:c r="F19" s="11" t="n">
        <x:v>1188</x:v>
      </x:c>
      <x:c r="G19" s="11" t="n">
        <x:v>1021</x:v>
      </x:c>
      <x:c r="H19" s="11" t="n">
        <x:v>34</x:v>
      </x:c>
      <x:c r="I19" s="11" t="n">
        <x:v>1140</x:v>
      </x:c>
      <x:c r="J19" s="11" t="n">
        <x:v>388800</x:v>
      </x:c>
      <x:c r="K19" s="11" t="n">
        <x:v>291600</x:v>
      </x:c>
    </x:row>
    <x:row r="20">
      <x:c r="A20" s="11" t="n">
        <x:v>19</x:v>
      </x:c>
      <x:c r="B20" s="11" t="str">
        <x:v>2023-04</x:v>
      </x:c>
      <x:c r="C20" s="11" t="str">
        <x:v>Gears</x:v>
      </x:c>
      <x:c r="D20" s="11" t="str">
        <x:v>North</x:v>
      </x:c>
      <x:c r="E20" s="11" t="str">
        <x:v>OEM</x:v>
      </x:c>
      <x:c r="F20" s="11" t="n">
        <x:v>1281</x:v>
      </x:c>
      <x:c r="G20" s="11" t="n">
        <x:v>1127</x:v>
      </x:c>
      <x:c r="H20" s="11" t="n">
        <x:v>35</x:v>
      </x:c>
      <x:c r="I20" s="11" t="n">
        <x:v>1229</x:v>
      </x:c>
      <x:c r="J20" s="11" t="n">
        <x:v>604800</x:v>
      </x:c>
      <x:c r="K20" s="11" t="n">
        <x:v>423360</x:v>
      </x:c>
    </x:row>
    <x:row r="21">
      <x:c r="A21" s="11" t="n">
        <x:v>20</x:v>
      </x:c>
      <x:c r="B21" s="11" t="str">
        <x:v>2023-04</x:v>
      </x:c>
      <x:c r="C21" s="11" t="str">
        <x:v>Gears</x:v>
      </x:c>
      <x:c r="D21" s="11" t="str">
        <x:v>South</x:v>
      </x:c>
      <x:c r="E21" s="11" t="str">
        <x:v>Distributor</x:v>
      </x:c>
      <x:c r="F21" s="11" t="n">
        <x:v>1281</x:v>
      </x:c>
      <x:c r="G21" s="11" t="n">
        <x:v>1127</x:v>
      </x:c>
      <x:c r="H21" s="11" t="n">
        <x:v>35</x:v>
      </x:c>
      <x:c r="I21" s="11" t="n">
        <x:v>1229</x:v>
      </x:c>
      <x:c r="J21" s="11" t="n">
        <x:v>526400</x:v>
      </x:c>
      <x:c r="K21" s="11" t="n">
        <x:v>368480</x:v>
      </x:c>
    </x:row>
    <x:row r="22">
      <x:c r="A22" s="11" t="n">
        <x:v>21</x:v>
      </x:c>
      <x:c r="B22" s="11" t="str">
        <x:v>2023-04</x:v>
      </x:c>
      <x:c r="C22" s="11" t="str">
        <x:v>Shafts</x:v>
      </x:c>
      <x:c r="D22" s="11" t="str">
        <x:v>North</x:v>
      </x:c>
      <x:c r="E22" s="11" t="str">
        <x:v>OEM</x:v>
      </x:c>
      <x:c r="F22" s="11" t="n">
        <x:v>1207</x:v>
      </x:c>
      <x:c r="G22" s="11" t="n">
        <x:v>1050</x:v>
      </x:c>
      <x:c r="H22" s="11" t="n">
        <x:v>32</x:v>
      </x:c>
      <x:c r="I22" s="11" t="n">
        <x:v>1158</x:v>
      </x:c>
      <x:c r="J22" s="11" t="n">
        <x:v>481600</x:v>
      </x:c>
      <x:c r="K22" s="11" t="n">
        <x:v>346752</x:v>
      </x:c>
    </x:row>
    <x:row r="23">
      <x:c r="A23" s="11" t="n">
        <x:v>22</x:v>
      </x:c>
      <x:c r="B23" s="11" t="str">
        <x:v>2023-04</x:v>
      </x:c>
      <x:c r="C23" s="11" t="str">
        <x:v>Shafts</x:v>
      </x:c>
      <x:c r="D23" s="11" t="str">
        <x:v>West</x:v>
      </x:c>
      <x:c r="E23" s="11" t="str">
        <x:v>Distributor</x:v>
      </x:c>
      <x:c r="F23" s="11" t="n">
        <x:v>1207</x:v>
      </x:c>
      <x:c r="G23" s="11" t="n">
        <x:v>1050</x:v>
      </x:c>
      <x:c r="H23" s="11" t="n">
        <x:v>32</x:v>
      </x:c>
      <x:c r="I23" s="11" t="n">
        <x:v>1158</x:v>
      </x:c>
      <x:c r="J23" s="11" t="n">
        <x:v>442400</x:v>
      </x:c>
      <x:c r="K23" s="11" t="n">
        <x:v>318528</x:v>
      </x:c>
    </x:row>
    <x:row r="24">
      <x:c r="A24" s="11" t="n">
        <x:v>23</x:v>
      </x:c>
      <x:c r="B24" s="11" t="str">
        <x:v>2023-04</x:v>
      </x:c>
      <x:c r="C24" s="11" t="str">
        <x:v>Bearings</x:v>
      </x:c>
      <x:c r="D24" s="11" t="str">
        <x:v>South</x:v>
      </x:c>
      <x:c r="E24" s="11" t="str">
        <x:v>OEM</x:v>
      </x:c>
      <x:c r="F24" s="11" t="n">
        <x:v>1232</x:v>
      </x:c>
      <x:c r="G24" s="11" t="n">
        <x:v>1059</x:v>
      </x:c>
      <x:c r="H24" s="11" t="n">
        <x:v>35</x:v>
      </x:c>
      <x:c r="I24" s="11" t="n">
        <x:v>1182</x:v>
      </x:c>
      <x:c r="J24" s="11" t="n">
        <x:v>430080</x:v>
      </x:c>
      <x:c r="K24" s="11" t="n">
        <x:v>322560</x:v>
      </x:c>
    </x:row>
    <x:row r="25">
      <x:c r="A25" s="11" t="n">
        <x:v>24</x:v>
      </x:c>
      <x:c r="B25" s="11" t="str">
        <x:v>2023-04</x:v>
      </x:c>
      <x:c r="C25" s="11" t="str">
        <x:v>Bearings</x:v>
      </x:c>
      <x:c r="D25" s="11" t="str">
        <x:v>West</x:v>
      </x:c>
      <x:c r="E25" s="11" t="str">
        <x:v>Distributor</x:v>
      </x:c>
      <x:c r="F25" s="11" t="n">
        <x:v>1232</x:v>
      </x:c>
      <x:c r="G25" s="11" t="n">
        <x:v>1059</x:v>
      </x:c>
      <x:c r="H25" s="11" t="n">
        <x:v>35</x:v>
      </x:c>
      <x:c r="I25" s="11" t="n">
        <x:v>1182</x:v>
      </x:c>
      <x:c r="J25" s="11" t="n">
        <x:v>403200</x:v>
      </x:c>
      <x:c r="K25" s="11" t="n">
        <x:v>302400</x:v>
      </x:c>
    </x:row>
    <x:row r="26">
      <x:c r="A26" s="11" t="n">
        <x:v>25</x:v>
      </x:c>
      <x:c r="B26" s="11" t="str">
        <x:v>2023-05</x:v>
      </x:c>
      <x:c r="C26" s="11" t="str">
        <x:v>Gears</x:v>
      </x:c>
      <x:c r="D26" s="11" t="str">
        <x:v>North</x:v>
      </x:c>
      <x:c r="E26" s="11" t="str">
        <x:v>OEM</x:v>
      </x:c>
      <x:c r="F26" s="11" t="n">
        <x:v>1327</x:v>
      </x:c>
      <x:c r="G26" s="11" t="n">
        <x:v>1167</x:v>
      </x:c>
      <x:c r="H26" s="11" t="n">
        <x:v>37</x:v>
      </x:c>
      <x:c r="I26" s="11" t="n">
        <x:v>1273</x:v>
      </x:c>
      <x:c r="J26" s="11" t="n">
        <x:v>626400</x:v>
      </x:c>
      <x:c r="K26" s="11" t="n">
        <x:v>438479</x:v>
      </x:c>
    </x:row>
    <x:row r="27">
      <x:c r="A27" s="11" t="n">
        <x:v>26</x:v>
      </x:c>
      <x:c r="B27" s="11" t="str">
        <x:v>2023-05</x:v>
      </x:c>
      <x:c r="C27" s="11" t="str">
        <x:v>Gears</x:v>
      </x:c>
      <x:c r="D27" s="11" t="str">
        <x:v>South</x:v>
      </x:c>
      <x:c r="E27" s="11" t="str">
        <x:v>Distributor</x:v>
      </x:c>
      <x:c r="F27" s="11" t="n">
        <x:v>1327</x:v>
      </x:c>
      <x:c r="G27" s="11" t="n">
        <x:v>1167</x:v>
      </x:c>
      <x:c r="H27" s="11" t="n">
        <x:v>37</x:v>
      </x:c>
      <x:c r="I27" s="11" t="n">
        <x:v>1273</x:v>
      </x:c>
      <x:c r="J27" s="11" t="n">
        <x:v>545200</x:v>
      </x:c>
      <x:c r="K27" s="11" t="n">
        <x:v>381640</x:v>
      </x:c>
    </x:row>
    <x:row r="28">
      <x:c r="A28" s="11" t="n">
        <x:v>27</x:v>
      </x:c>
      <x:c r="B28" s="11" t="str">
        <x:v>2023-05</x:v>
      </x:c>
      <x:c r="C28" s="11" t="str">
        <x:v>Shafts</x:v>
      </x:c>
      <x:c r="D28" s="11" t="str">
        <x:v>North</x:v>
      </x:c>
      <x:c r="E28" s="11" t="str">
        <x:v>OEM</x:v>
      </x:c>
      <x:c r="F28" s="11" t="n">
        <x:v>1250</x:v>
      </x:c>
      <x:c r="G28" s="11" t="n">
        <x:v>1087</x:v>
      </x:c>
      <x:c r="H28" s="11" t="n">
        <x:v>33</x:v>
      </x:c>
      <x:c r="I28" s="11" t="n">
        <x:v>1200</x:v>
      </x:c>
      <x:c r="J28" s="11" t="n">
        <x:v>498799</x:v>
      </x:c>
      <x:c r="K28" s="11" t="n">
        <x:v>359136</x:v>
      </x:c>
    </x:row>
    <x:row r="29">
      <x:c r="A29" s="11" t="n">
        <x:v>28</x:v>
      </x:c>
      <x:c r="B29" s="11" t="str">
        <x:v>2023-05</x:v>
      </x:c>
      <x:c r="C29" s="11" t="str">
        <x:v>Shafts</x:v>
      </x:c>
      <x:c r="D29" s="11" t="str">
        <x:v>West</x:v>
      </x:c>
      <x:c r="E29" s="11" t="str">
        <x:v>Distributor</x:v>
      </x:c>
      <x:c r="F29" s="11" t="n">
        <x:v>1250</x:v>
      </x:c>
      <x:c r="G29" s="11" t="n">
        <x:v>1087</x:v>
      </x:c>
      <x:c r="H29" s="11" t="n">
        <x:v>33</x:v>
      </x:c>
      <x:c r="I29" s="11" t="n">
        <x:v>1200</x:v>
      </x:c>
      <x:c r="J29" s="11" t="n">
        <x:v>458199</x:v>
      </x:c>
      <x:c r="K29" s="11" t="n">
        <x:v>329904</x:v>
      </x:c>
    </x:row>
    <x:row r="30">
      <x:c r="A30" s="11" t="n">
        <x:v>29</x:v>
      </x:c>
      <x:c r="B30" s="11" t="str">
        <x:v>2023-05</x:v>
      </x:c>
      <x:c r="C30" s="11" t="str">
        <x:v>Bearings</x:v>
      </x:c>
      <x:c r="D30" s="11" t="str">
        <x:v>South</x:v>
      </x:c>
      <x:c r="E30" s="11" t="str">
        <x:v>OEM</x:v>
      </x:c>
      <x:c r="F30" s="11" t="n">
        <x:v>1276</x:v>
      </x:c>
      <x:c r="G30" s="11" t="n">
        <x:v>1097</x:v>
      </x:c>
      <x:c r="H30" s="11" t="n">
        <x:v>37</x:v>
      </x:c>
      <x:c r="I30" s="11" t="n">
        <x:v>1224</x:v>
      </x:c>
      <x:c r="J30" s="11" t="n">
        <x:v>445439</x:v>
      </x:c>
      <x:c r="K30" s="11" t="n">
        <x:v>334080</x:v>
      </x:c>
    </x:row>
    <x:row r="31">
      <x:c r="A31" s="11" t="n">
        <x:v>30</x:v>
      </x:c>
      <x:c r="B31" s="11" t="str">
        <x:v>2023-05</x:v>
      </x:c>
      <x:c r="C31" s="11" t="str">
        <x:v>Bearings</x:v>
      </x:c>
      <x:c r="D31" s="11" t="str">
        <x:v>West</x:v>
      </x:c>
      <x:c r="E31" s="11" t="str">
        <x:v>Distributor</x:v>
      </x:c>
      <x:c r="F31" s="11" t="n">
        <x:v>1276</x:v>
      </x:c>
      <x:c r="G31" s="11" t="n">
        <x:v>1097</x:v>
      </x:c>
      <x:c r="H31" s="11" t="n">
        <x:v>37</x:v>
      </x:c>
      <x:c r="I31" s="11" t="n">
        <x:v>1224</x:v>
      </x:c>
      <x:c r="J31" s="11" t="n">
        <x:v>417600</x:v>
      </x:c>
      <x:c r="K31" s="11" t="n">
        <x:v>313200</x:v>
      </x:c>
    </x:row>
    <x:row r="32">
      <x:c r="A32" s="11" t="n">
        <x:v>31</x:v>
      </x:c>
      <x:c r="B32" s="11" t="str">
        <x:v>2023-06</x:v>
      </x:c>
      <x:c r="C32" s="11" t="str">
        <x:v>Gears</x:v>
      </x:c>
      <x:c r="D32" s="11" t="str">
        <x:v>North</x:v>
      </x:c>
      <x:c r="E32" s="11" t="str">
        <x:v>OEM</x:v>
      </x:c>
      <x:c r="F32" s="11" t="n">
        <x:v>1372</x:v>
      </x:c>
      <x:c r="G32" s="11" t="n">
        <x:v>1207</x:v>
      </x:c>
      <x:c r="H32" s="11" t="n">
        <x:v>38</x:v>
      </x:c>
      <x:c r="I32" s="11" t="n">
        <x:v>1317</x:v>
      </x:c>
      <x:c r="J32" s="11" t="n">
        <x:v>648000</x:v>
      </x:c>
      <x:c r="K32" s="11" t="n">
        <x:v>453600</x:v>
      </x:c>
    </x:row>
    <x:row r="33">
      <x:c r="A33" s="11" t="n">
        <x:v>32</x:v>
      </x:c>
      <x:c r="B33" s="11" t="str">
        <x:v>2023-06</x:v>
      </x:c>
      <x:c r="C33" s="11" t="str">
        <x:v>Gears</x:v>
      </x:c>
      <x:c r="D33" s="11" t="str">
        <x:v>South</x:v>
      </x:c>
      <x:c r="E33" s="11" t="str">
        <x:v>Distributor</x:v>
      </x:c>
      <x:c r="F33" s="11" t="n">
        <x:v>1372</x:v>
      </x:c>
      <x:c r="G33" s="11" t="n">
        <x:v>1207</x:v>
      </x:c>
      <x:c r="H33" s="11" t="n">
        <x:v>38</x:v>
      </x:c>
      <x:c r="I33" s="11" t="n">
        <x:v>1317</x:v>
      </x:c>
      <x:c r="J33" s="11" t="n">
        <x:v>564000</x:v>
      </x:c>
      <x:c r="K33" s="11" t="n">
        <x:v>394800</x:v>
      </x:c>
    </x:row>
    <x:row r="34">
      <x:c r="A34" s="11" t="n">
        <x:v>33</x:v>
      </x:c>
      <x:c r="B34" s="11" t="str">
        <x:v>2023-06</x:v>
      </x:c>
      <x:c r="C34" s="11" t="str">
        <x:v>Shafts</x:v>
      </x:c>
      <x:c r="D34" s="11" t="str">
        <x:v>North</x:v>
      </x:c>
      <x:c r="E34" s="11" t="str">
        <x:v>OEM</x:v>
      </x:c>
      <x:c r="F34" s="11" t="n">
        <x:v>1293</x:v>
      </x:c>
      <x:c r="G34" s="11" t="n">
        <x:v>1124</x:v>
      </x:c>
      <x:c r="H34" s="11" t="n">
        <x:v>34</x:v>
      </x:c>
      <x:c r="I34" s="11" t="n">
        <x:v>1241</x:v>
      </x:c>
      <x:c r="J34" s="11" t="n">
        <x:v>516000</x:v>
      </x:c>
      <x:c r="K34" s="11" t="n">
        <x:v>371520</x:v>
      </x:c>
    </x:row>
    <x:row r="35">
      <x:c r="A35" s="11" t="n">
        <x:v>34</x:v>
      </x:c>
      <x:c r="B35" s="11" t="str">
        <x:v>2023-06</x:v>
      </x:c>
      <x:c r="C35" s="11" t="str">
        <x:v>Shafts</x:v>
      </x:c>
      <x:c r="D35" s="11" t="str">
        <x:v>West</x:v>
      </x:c>
      <x:c r="E35" s="11" t="str">
        <x:v>Distributor</x:v>
      </x:c>
      <x:c r="F35" s="11" t="n">
        <x:v>1293</x:v>
      </x:c>
      <x:c r="G35" s="11" t="n">
        <x:v>1124</x:v>
      </x:c>
      <x:c r="H35" s="11" t="n">
        <x:v>34</x:v>
      </x:c>
      <x:c r="I35" s="11" t="n">
        <x:v>1241</x:v>
      </x:c>
      <x:c r="J35" s="11" t="n">
        <x:v>474000</x:v>
      </x:c>
      <x:c r="K35" s="11" t="n">
        <x:v>341280</x:v>
      </x:c>
    </x:row>
    <x:row r="36">
      <x:c r="A36" s="11" t="n">
        <x:v>35</x:v>
      </x:c>
      <x:c r="B36" s="11" t="str">
        <x:v>2023-06</x:v>
      </x:c>
      <x:c r="C36" s="11" t="str">
        <x:v>Bearings</x:v>
      </x:c>
      <x:c r="D36" s="11" t="str">
        <x:v>South</x:v>
      </x:c>
      <x:c r="E36" s="11" t="str">
        <x:v>OEM</x:v>
      </x:c>
      <x:c r="F36" s="11" t="n">
        <x:v>1320</x:v>
      </x:c>
      <x:c r="G36" s="11" t="n">
        <x:v>1135</x:v>
      </x:c>
      <x:c r="H36" s="11" t="n">
        <x:v>38</x:v>
      </x:c>
      <x:c r="I36" s="11" t="n">
        <x:v>1267</x:v>
      </x:c>
      <x:c r="J36" s="11" t="n">
        <x:v>460800</x:v>
      </x:c>
      <x:c r="K36" s="11" t="n">
        <x:v>345600</x:v>
      </x:c>
    </x:row>
    <x:row r="37">
      <x:c r="A37" s="11" t="n">
        <x:v>36</x:v>
      </x:c>
      <x:c r="B37" s="11" t="str">
        <x:v>2023-06</x:v>
      </x:c>
      <x:c r="C37" s="11" t="str">
        <x:v>Bearings</x:v>
      </x:c>
      <x:c r="D37" s="11" t="str">
        <x:v>West</x:v>
      </x:c>
      <x:c r="E37" s="11" t="str">
        <x:v>Distributor</x:v>
      </x:c>
      <x:c r="F37" s="11" t="n">
        <x:v>1320</x:v>
      </x:c>
      <x:c r="G37" s="11" t="n">
        <x:v>1135</x:v>
      </x:c>
      <x:c r="H37" s="11" t="n">
        <x:v>38</x:v>
      </x:c>
      <x:c r="I37" s="11" t="n">
        <x:v>1267</x:v>
      </x:c>
      <x:c r="J37" s="11" t="n">
        <x:v>432000</x:v>
      </x:c>
      <x:c r="K37" s="11" t="n">
        <x:v>324000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8" hidden="0" customWidth="1"/>
    <x:col min="3" max="3" width="12.630000114440918" hidden="0" customWidth="1"/>
    <x:col min="4" max="4" width="10.630000114440918" hidden="0" customWidth="1"/>
    <x:col min="5" max="5" width="7.75" hidden="0" customWidth="1"/>
    <x:col min="6" max="6" width="13.630000114440918" hidden="0" customWidth="1"/>
    <x:col min="7" max="7" width="13.380000114440918" hidden="0" customWidth="1"/>
    <x:col min="8" max="8" width="8.880000114440918" hidden="0" customWidth="1"/>
    <x:col min="9" max="9" width="15.130000114440918" hidden="0" customWidth="1"/>
    <x:col min="10" max="10" width="9.130000114440918" hidden="0" customWidth="1"/>
    <x:col min="11" max="11" width="10.25" hidden="0" customWidth="1"/>
  </x:cols>
  <x:sheetData>
    <x:row r="1">
      <x:c r="A1" s="4" t="str">
        <x:v>Product</x:v>
      </x:c>
      <x:c r="B1" s="4" t="str">
        <x:v>Revenue</x:v>
      </x:c>
      <x:c r="C1" s="4" t="str">
        <x:v>Production Cost</x:v>
      </x:c>
      <x:c r="D1" s="4" t="str">
        <x:v>Gross Margin</x:v>
      </x:c>
      <x:c r="E1" s="4" t="str">
        <x:v>Margin %</x:v>
      </x:c>
      <x:c r="F1" s="4" t="str">
        <x:v>Revenue Share %</x:v>
      </x:c>
      <x:c r="G1" s="4" t="str">
        <x:v>Production Units</x:v>
      </x:c>
      <x:c r="H1" s="4" t="str">
        <x:v>Sales Units</x:v>
      </x:c>
      <x:c r="I1" s="4" t="str">
        <x:v>Sales Conversion %</x:v>
      </x:c>
      <x:c r="J1" s="4" t="str">
        <x:v>Scrap Units</x:v>
      </x:c>
      <x:c r="K1" s="4" t="str">
        <x:v>Scrap Rate %</x:v>
      </x:c>
    </x:row>
    <x:row r="2">
      <x:c r="A2" t="str">
        <x:v>Gears</x:v>
      </x:c>
      <x:c r="B2" s="16" t="n">
        <x:f>SUMIF(Portfolio_Data!$C$2:$C$37,A2,Portfolio_Data!$J$2:$J$37)</x:f>
        <x:v>6666000</x:v>
      </x:c>
      <x:c r="C2" s="16" t="n">
        <x:f>SUMIF(Portfolio_Data!$C$2:$C$37,A2,Portfolio_Data!$K$2:$K$37)</x:f>
        <x:v>4666199</x:v>
      </x:c>
      <x:c r="D2" s="16" t="n">
        <x:f>B2-C2</x:f>
        <x:v>1999801</x:v>
      </x:c>
      <x:c r="E2" s="14" t="n">
        <x:f>D2/B2</x:f>
        <x:v>0.3000001500150015</x:v>
      </x:c>
      <x:c r="F2" s="14" t="n">
        <x:f>B2/SUM($B$2:$B$4)</x:f>
        <x:v>0.39162472974456797</x:v>
      </x:c>
      <x:c r="G2" s="16" t="n">
        <x:f>SUMIF(Portfolio_Data!$C$2:$C$37,A2,Portfolio_Data!$F$2:$F$37)</x:f>
        <x:v>15096</x:v>
      </x:c>
      <x:c r="H2" s="16" t="n">
        <x:f>SUMIF(Portfolio_Data!$C$2:$C$37,A2,Portfolio_Data!$G$2:$G$37)</x:f>
        <x:v>13278</x:v>
      </x:c>
      <x:c r="I2" s="14" t="n">
        <x:f>H2/G2</x:f>
        <x:v>0.879570747217806</x:v>
      </x:c>
      <x:c r="J2" s="16" t="n">
        <x:f>SUMIF(Portfolio_Data!$C$2:$C$37,A2,Portfolio_Data!$H$2:$H$37)</x:f>
        <x:v>418</x:v>
      </x:c>
      <x:c r="K2" s="14" t="n">
        <x:f>J2/G2</x:f>
        <x:v>0.027689454160042395</x:v>
      </x:c>
    </x:row>
    <x:row r="3">
      <x:c r="A3" t="str">
        <x:v>Shafts</x:v>
      </x:c>
      <x:c r="B3" s="16" t="n">
        <x:f>SUMIF(Portfolio_Data!$C$2:$C$37,A3,Portfolio_Data!$J$2:$J$37)</x:f>
        <x:v>5444998</x:v>
      </x:c>
      <x:c r="C3" s="16" t="n">
        <x:f>SUMIF(Portfolio_Data!$C$2:$C$37,A3,Portfolio_Data!$K$2:$K$37)</x:f>
        <x:v>3920400</x:v>
      </x:c>
      <x:c r="D3" s="16" t="n">
        <x:f>B3-C3</x:f>
        <x:v>1524598</x:v>
      </x:c>
      <x:c r="E3" s="14" t="n">
        <x:f>D3/B3</x:f>
        <x:v>0.27999973553709295</x:v>
      </x:c>
      <x:c r="F3" s="14" t="n">
        <x:f>B3/SUM($B$2:$B$4)</x:f>
        <x:v>0.3198913696684238</x:v>
      </x:c>
      <x:c r="G3" s="16" t="n">
        <x:f>SUMIF(Portfolio_Data!$C$2:$C$37,A3,Portfolio_Data!$F$2:$F$37)</x:f>
        <x:v>14226</x:v>
      </x:c>
      <x:c r="H3" s="16" t="n">
        <x:f>SUMIF(Portfolio_Data!$C$2:$C$37,A3,Portfolio_Data!$G$2:$G$37)</x:f>
        <x:v>12370</x:v>
      </x:c>
      <x:c r="I3" s="14" t="n">
        <x:f>H3/G3</x:f>
        <x:v>0.8695346548573035</x:v>
      </x:c>
      <x:c r="J3" s="16" t="n">
        <x:f>SUMIF(Portfolio_Data!$C$2:$C$37,A3,Portfolio_Data!$H$2:$H$37)</x:f>
        <x:v>378</x:v>
      </x:c>
      <x:c r="K3" s="14" t="n">
        <x:f>J3/G3</x:f>
        <x:v>0.026571067060312106</x:v>
      </x:c>
    </x:row>
    <x:row r="4">
      <x:c r="A4" t="str">
        <x:v>Bearings</x:v>
      </x:c>
      <x:c r="B4" s="16" t="n">
        <x:f>SUMIF(Portfolio_Data!$C$2:$C$37,A4,Portfolio_Data!$J$2:$J$37)</x:f>
        <x:v>4910399</x:v>
      </x:c>
      <x:c r="C4" s="16" t="n">
        <x:f>SUMIF(Portfolio_Data!$C$2:$C$37,A4,Portfolio_Data!$K$2:$K$37)</x:f>
        <x:v>3682800</x:v>
      </x:c>
      <x:c r="D4" s="16" t="n">
        <x:f>B4-C4</x:f>
        <x:v>1227599</x:v>
      </x:c>
      <x:c r="E4" s="14" t="n">
        <x:f>D4/B4</x:f>
        <x:v>0.249999847262921</x:v>
      </x:c>
      <x:c r="F4" s="14" t="n">
        <x:f>B4/SUM($B$2:$B$4)</x:f>
        <x:v>0.28848390058700824</x:v>
      </x:c>
      <x:c r="G4" s="16" t="n">
        <x:f>SUMIF(Portfolio_Data!$C$2:$C$37,A4,Portfolio_Data!$F$2:$F$37)</x:f>
        <x:v>14520</x:v>
      </x:c>
      <x:c r="H4" s="16" t="n">
        <x:f>SUMIF(Portfolio_Data!$C$2:$C$37,A4,Portfolio_Data!$G$2:$G$37)</x:f>
        <x:v>12482</x:v>
      </x:c>
      <x:c r="I4" s="14" t="n">
        <x:f>H4/G4</x:f>
        <x:v>0.8596418732782369</x:v>
      </x:c>
      <x:c r="J4" s="16" t="n">
        <x:f>SUMIF(Portfolio_Data!$C$2:$C$37,A4,Portfolio_Data!$H$2:$H$37)</x:f>
        <x:v>416</x:v>
      </x:c>
      <x:c r="K4" s="14" t="n">
        <x:f>J4/G4</x:f>
        <x:v>0.02865013774104683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.8799991607666" hidden="0" customWidth="1"/>
    <x:col min="2" max="2" width="7.130000114440918" hidden="0" customWidth="1"/>
    <x:col min="3" max="3" width="31.1299991607666" hidden="0" customWidth="1"/>
  </x:cols>
  <x:sheetData>
    <x:row r="1">
      <x:c r="A1" s="18" t="str">
        <x:v>Revenue Presentation</x:v>
      </x:c>
      <x:c r="B1" t="str"/>
      <x:c r="C1" t="str"/>
    </x:row>
    <x:row r="2">
      <x:c r="A2" s="21" t="str">
        <x:v>Product</x:v>
      </x:c>
      <x:c r="B2" s="21" t="str">
        <x:v>Revenue</x:v>
      </x:c>
      <x:c r="C2" s="21" t="str">
        <x:v>Presentation Focus</x:v>
      </x:c>
    </x:row>
    <x:row r="3">
      <x:c r="A3" t="str">
        <x:v>Gears</x:v>
      </x:c>
      <x:c r="B3" s="16" t="n">
        <x:f>Product_Portfolio!B2</x:f>
        <x:v>6666000</x:v>
      </x:c>
      <x:c r="C3" t="str">
        <x:v>Revenue contribution and portfolio share</x:v>
      </x:c>
    </x:row>
    <x:row r="4">
      <x:c r="A4" t="str">
        <x:v>Shafts</x:v>
      </x:c>
      <x:c r="B4" s="16" t="n">
        <x:f>Product_Portfolio!B3</x:f>
        <x:v>5444998</x:v>
      </x:c>
      <x:c r="C4" t="str">
        <x:v>Revenue contribution and comparison</x:v>
      </x:c>
    </x:row>
    <x:row r="5">
      <x:c r="A5" t="str">
        <x:v>Bearings</x:v>
      </x:c>
      <x:c r="B5" s="16" t="n">
        <x:f>Product_Portfolio!B4</x:f>
        <x:v>4910399</x:v>
      </x:c>
      <x:c r="C5" t="str">
        <x:v>Revenue contribution and comparison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.1299991607666" hidden="0" customWidth="1"/>
    <x:col min="2" max="2" width="10.630000114440918" hidden="0" customWidth="1"/>
    <x:col min="3" max="3" width="7.75" hidden="0" customWidth="1"/>
    <x:col min="4" max="4" width="31.6299991607666" hidden="0" customWidth="1"/>
  </x:cols>
  <x:sheetData>
    <x:row r="1">
      <x:c r="A1" s="18" t="str">
        <x:v>Margin Presentation</x:v>
      </x:c>
      <x:c r="B1" t="str"/>
      <x:c r="C1" t="str"/>
      <x:c r="D1" t="str"/>
    </x:row>
    <x:row r="2">
      <x:c r="A2" s="21" t="str">
        <x:v>Product</x:v>
      </x:c>
      <x:c r="B2" s="21" t="str">
        <x:v>Gross Margin</x:v>
      </x:c>
      <x:c r="C2" s="21" t="str">
        <x:v>Margin %</x:v>
      </x:c>
      <x:c r="D2" s="21" t="str">
        <x:v>Presentation Focus</x:v>
      </x:c>
    </x:row>
    <x:row r="3">
      <x:c r="A3" t="str">
        <x:v>Gears</x:v>
      </x:c>
      <x:c r="B3" s="16" t="n">
        <x:f>Product_Portfolio!D2</x:f>
        <x:v>1999801</x:v>
      </x:c>
      <x:c r="C3" s="14" t="n">
        <x:f>Product_Portfolio!E2</x:f>
        <x:v>0.3000001500150015</x:v>
      </x:c>
      <x:c r="D3" t="str">
        <x:v>Absolute and relative margin contribution</x:v>
      </x:c>
    </x:row>
    <x:row r="4">
      <x:c r="A4" t="str">
        <x:v>Shafts</x:v>
      </x:c>
      <x:c r="B4" s="16" t="n">
        <x:f>Product_Portfolio!D3</x:f>
        <x:v>1524598</x:v>
      </x:c>
      <x:c r="C4" s="14" t="n">
        <x:f>Product_Portfolio!E3</x:f>
        <x:v>0.27999973553709295</x:v>
      </x:c>
      <x:c r="D4" t="str">
        <x:v>Compare margin with revenue scale</x:v>
      </x:c>
    </x:row>
    <x:row r="5">
      <x:c r="A5" t="str">
        <x:v>Bearings</x:v>
      </x:c>
      <x:c r="B5" s="16" t="n">
        <x:f>Product_Portfolio!D4</x:f>
        <x:v>1227599</x:v>
      </x:c>
      <x:c r="C5" s="14" t="n">
        <x:f>Product_Portfolio!E4</x:f>
        <x:v>0.249999847262921</x:v>
      </x:c>
      <x:c r="D5" t="str">
        <x:v>Compare margin with portfolio position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.630000114440918" hidden="0" customWidth="1"/>
  </x:cols>
  <x:sheetData>
    <x:row r="1">
      <x:c r="A1" s="3" t="str">
        <x:v>Product</x:v>
      </x:c>
      <x:c r="B1" s="3" t="str">
        <x:v>Revenue Share %</x:v>
      </x:c>
    </x:row>
    <x:row r="2">
      <x:c r="A2" t="str">
        <x:v>Gears</x:v>
      </x:c>
      <x:c r="B2" s="14" t="n">
        <x:f>Product_Portfolio!F2</x:f>
        <x:v>0.39162472974456797</x:v>
      </x:c>
    </x:row>
    <x:row r="3">
      <x:c r="A3" t="str">
        <x:v>Shafts</x:v>
      </x:c>
      <x:c r="B3" s="14" t="n">
        <x:f>Product_Portfolio!F3</x:f>
        <x:v>0.3198913696684238</x:v>
      </x:c>
    </x:row>
    <x:row r="4">
      <x:c r="A4" t="str">
        <x:v>Bearings</x:v>
      </x:c>
      <x:c r="B4" s="14" t="n">
        <x:f>Product_Portfolio!F4</x:f>
        <x:v>0.28848390058700824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4" hidden="0" customWidth="1"/>
  </x:cols>
  <x:sheetData>
    <x:row r="1">
      <x:c r="A1" s="24" t="str">
        <x:v>Question_ID</x:v>
      </x:c>
      <x:c r="B1" s="24" t="str">
        <x:v>Presentation Question</x:v>
      </x:c>
      <x:c r="C1" s="24" t="str">
        <x:v>Evidence to Use</x:v>
      </x:c>
    </x:row>
    <x:row r="2">
      <x:c r="A2" s="11" t="str">
        <x:v>Q1</x:v>
      </x:c>
      <x:c r="B2" s="11" t="str">
        <x:v>Which product contributes the most revenue?</x:v>
      </x:c>
      <x:c r="C2" s="11" t="str">
        <x:v>Revenue and Revenue Share %</x:v>
      </x:c>
    </x:row>
    <x:row r="3">
      <x:c r="A3" s="11" t="str">
        <x:v>Q2</x:v>
      </x:c>
      <x:c r="B3" s="11" t="str">
        <x:v>How do product margins compare?</x:v>
      </x:c>
      <x:c r="C3" s="11" t="str">
        <x:v>Gross Margin and Margin %</x:v>
      </x:c>
    </x:row>
    <x:row r="4">
      <x:c r="A4" s="11" t="str">
        <x:v>Q3</x:v>
      </x:c>
      <x:c r="B4" s="11" t="str">
        <x:v>Does the largest revenue product also have the largest margin?</x:v>
      </x:c>
      <x:c r="C4" s="11" t="str">
        <x:v>Revenue vs Gross Margin</x:v>
      </x:c>
    </x:row>
    <x:row r="5">
      <x:c r="A5" s="11" t="str">
        <x:v>Q4</x:v>
      </x:c>
      <x:c r="B5" s="11" t="str">
        <x:v>How concentrated is the portfolio?</x:v>
      </x:c>
      <x:c r="C5" s="11" t="str">
        <x:v>Revenue Share %</x:v>
      </x:c>
    </x:row>
    <x:row r="6">
      <x:c r="A6" s="11" t="str">
        <x:v>Q5</x:v>
      </x:c>
      <x:c r="B6" s="11" t="str">
        <x:v>How do production and sales compare?</x:v>
      </x:c>
      <x:c r="C6" s="11" t="str">
        <x:v>Production Units vs Sales Units</x:v>
      </x:c>
    </x:row>
    <x:row r="7">
      <x:c r="A7" s="11" t="str">
        <x:v>Q6</x:v>
      </x:c>
      <x:c r="B7" s="11" t="str">
        <x:v>Which product has the highest sales conversion?</x:v>
      </x:c>
      <x:c r="C7" s="11" t="str">
        <x:v>Sales Conversion %</x:v>
      </x:c>
    </x:row>
    <x:row r="8">
      <x:c r="A8" s="11" t="str">
        <x:v>Q7</x:v>
      </x:c>
      <x:c r="B8" s="11" t="str">
        <x:v>Which product records the highest scrap rate?</x:v>
      </x:c>
      <x:c r="C8" s="11" t="str">
        <x:v>Scrap Rate %</x:v>
      </x:c>
    </x:row>
    <x:row r="9">
      <x:c r="A9" s="11" t="str">
        <x:v>Q8</x:v>
      </x:c>
      <x:c r="B9" s="11" t="str">
        <x:v>What are the three strongest evidence-based presentation points?</x:v>
      </x:c>
      <x:c r="C9" s="11" t="str">
        <x:v>Dashboard + portfolio table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36" hidden="0" customWidth="1"/>
  </x:cols>
  <x:sheetData>
    <x:row r="1">
      <x:c r="A1" s="24" t="str">
        <x:v>Area</x:v>
      </x:c>
      <x:c r="B1" s="24" t="str">
        <x:v>Presentation Insight</x:v>
      </x:c>
      <x:c r="C1" s="24" t="str">
        <x:v>Evidence</x:v>
      </x:c>
    </x:row>
    <x:row r="2">
      <x:c r="A2" s="11" t="str">
        <x:v>Revenue</x:v>
      </x:c>
      <x:c r="B2" s="11" t="str">
        <x:v>Show relative product contribution before discussing details.</x:v>
      </x:c>
      <x:c r="C2" s="11" t="str">
        <x:v>Revenue and Revenue Share %</x:v>
      </x:c>
    </x:row>
    <x:row r="3">
      <x:c r="A3" s="11" t="str">
        <x:v>Margin</x:v>
      </x:c>
      <x:c r="B3" s="11" t="str">
        <x:v>Present both absolute gross margin and margin percentage.</x:v>
      </x:c>
      <x:c r="C3" s="11" t="str">
        <x:v>Gross Margin and Margin %</x:v>
      </x:c>
    </x:row>
    <x:row r="4">
      <x:c r="A4" s="11" t="str">
        <x:v>Sales</x:v>
      </x:c>
      <x:c r="B4" s="11" t="str">
        <x:v>Use sales conversion to connect production with sales.</x:v>
      </x:c>
      <x:c r="C4" s="11" t="str">
        <x:v>Sales Conversion %</x:v>
      </x:c>
    </x:row>
    <x:row r="5">
      <x:c r="A5" s="11" t="str">
        <x:v>Scrap</x:v>
      </x:c>
      <x:c r="B5" s="11" t="str">
        <x:v>Use scrap rate as operational context.</x:v>
      </x:c>
      <x:c r="C5" s="11" t="str">
        <x:v>Scrap Rate %</x:v>
      </x:c>
    </x:row>
    <x:row r="6">
      <x:c r="A6" s="11" t="str">
        <x:v>Presentation</x:v>
      </x:c>
      <x:c r="B6" s="11" t="str">
        <x:v>Separate calculated evidence from recommendations.</x:v>
      </x:c>
      <x:c r="C6" s="11" t="str">
        <x:v>All dashboard metrics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42" hidden="0" customWidth="1"/>
  </x:cols>
  <x:sheetData>
    <x:row r="1">
      <x:c r="A1" s="24" t="str">
        <x:v>Field</x:v>
      </x:c>
      <x:c r="B1" s="24" t="str">
        <x:v>Definition</x:v>
      </x:c>
    </x:row>
    <x:row r="2">
      <x:c r="A2" s="11" t="str">
        <x:v>Revenue</x:v>
      </x:c>
      <x:c r="B2" s="11" t="str">
        <x:v>Sales value recorded for the observation.</x:v>
      </x:c>
    </x:row>
    <x:row r="3">
      <x:c r="A3" s="11" t="str">
        <x:v>Production_Cost</x:v>
      </x:c>
      <x:c r="B3" s="11" t="str">
        <x:v>Illustrative production cost.</x:v>
      </x:c>
    </x:row>
    <x:row r="4">
      <x:c r="A4" s="11" t="str">
        <x:v>Gross_Margin</x:v>
      </x:c>
      <x:c r="B4" s="11" t="str">
        <x:v>Revenue minus Production Cost.</x:v>
      </x:c>
    </x:row>
    <x:row r="5">
      <x:c r="A5" s="11" t="str">
        <x:v>Margin_%</x:v>
      </x:c>
      <x:c r="B5" s="11" t="str">
        <x:v>Gross Margin divided by Revenue.</x:v>
      </x:c>
    </x:row>
    <x:row r="6">
      <x:c r="A6" s="11" t="str">
        <x:v>Revenue_Share_%</x:v>
      </x:c>
      <x:c r="B6" s="11" t="str">
        <x:v>Product Revenue divided by total portfolio Revenue.</x:v>
      </x:c>
    </x:row>
    <x:row r="7">
      <x:c r="A7" s="11" t="str">
        <x:v>Production_Units</x:v>
      </x:c>
      <x:c r="B7" s="11" t="str">
        <x:v>Units produced.</x:v>
      </x:c>
    </x:row>
    <x:row r="8">
      <x:c r="A8" s="11" t="str">
        <x:v>Sales_Units</x:v>
      </x:c>
      <x:c r="B8" s="11" t="str">
        <x:v>Units sold.</x:v>
      </x:c>
    </x:row>
    <x:row r="9">
      <x:c r="A9" s="11" t="str">
        <x:v>Sales_Conversion_%</x:v>
      </x:c>
      <x:c r="B9" s="11" t="str">
        <x:v>Sales Units divided by Production Units.</x:v>
      </x:c>
    </x:row>
    <x:row r="10">
      <x:c r="A10" s="11" t="str">
        <x:v>Scrap_Rate_%</x:v>
      </x:c>
      <x:c r="B10" s="11" t="str">
        <x:v>Scrap Units divided by Production Units.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24" t="str">
        <x:v>Sequence</x:v>
      </x:c>
      <x:c r="B1" s="24" t="str">
        <x:v>Presentation Section</x:v>
      </x:c>
      <x:c r="C1" s="24" t="str">
        <x:v>Main Question</x:v>
      </x:c>
      <x:c r="D1" s="24" t="str">
        <x:v>Visual</x:v>
      </x:c>
    </x:row>
    <x:row r="2">
      <x:c r="A2" s="11" t="n">
        <x:v>1</x:v>
      </x:c>
      <x:c r="B2" s="11" t="str">
        <x:v>Portfolio Overview</x:v>
      </x:c>
      <x:c r="C2" s="11" t="str">
        <x:v>What is the overall portfolio size?</x:v>
      </x:c>
      <x:c r="D2" s="11" t="str">
        <x:v>KPI cards</x:v>
      </x:c>
    </x:row>
    <x:row r="3">
      <x:c r="A3" s="11" t="n">
        <x:v>2</x:v>
      </x:c>
      <x:c r="B3" s="11" t="str">
        <x:v>Revenue Contribution</x:v>
      </x:c>
      <x:c r="C3" s="11" t="str">
        <x:v>Which product contributes most revenue?</x:v>
      </x:c>
      <x:c r="D3" s="11" t="str">
        <x:v>Revenue bar chart</x:v>
      </x:c>
    </x:row>
    <x:row r="4">
      <x:c r="A4" s="11" t="n">
        <x:v>3</x:v>
      </x:c>
      <x:c r="B4" s="11" t="str">
        <x:v>Margin Contribution</x:v>
      </x:c>
      <x:c r="C4" s="11" t="str">
        <x:v>How do product margins compare?</x:v>
      </x:c>
      <x:c r="D4" s="11" t="str">
        <x:v>Gross margin bar chart</x:v>
      </x:c>
    </x:row>
    <x:row r="5">
      <x:c r="A5" s="11" t="n">
        <x:v>4</x:v>
      </x:c>
      <x:c r="B5" s="11" t="str">
        <x:v>Revenue Mix</x:v>
      </x:c>
      <x:c r="C5" s="11" t="str">
        <x:v>How is revenue distributed?</x:v>
      </x:c>
      <x:c r="D5" s="11" t="str">
        <x:v>Revenue-share bar chart</x:v>
      </x:c>
    </x:row>
    <x:row r="6">
      <x:c r="A6" s="11" t="n">
        <x:v>5</x:v>
      </x:c>
      <x:c r="B6" s="11" t="str">
        <x:v>Operations</x:v>
      </x:c>
      <x:c r="C6" s="11" t="str">
        <x:v>How do production and sales compare?</x:v>
      </x:c>
      <x:c r="D6" s="11" t="str">
        <x:v>Production vs sales chart</x:v>
      </x:c>
    </x:row>
    <x:row r="7">
      <x:c r="A7" s="11" t="n">
        <x:v>6</x:v>
      </x:c>
      <x:c r="B7" s="11" t="str">
        <x:v>Evidence Summary</x:v>
      </x:c>
      <x:c r="C7" s="11" t="str">
        <x:v>What are the main observations?</x:v>
      </x:c>
      <x:c r="D7" s="11" t="str">
        <x:v>Insight table</x:v>
      </x:c>
    </x:row>
    <x:row r="8">
      <x:c r="A8" s="11" t="n">
        <x:v>7</x:v>
      </x:c>
      <x:c r="B8" s="11" t="str">
        <x:v>Closing</x:v>
      </x:c>
      <x:c r="C8" s="11" t="str">
        <x:v>What should the audience remember?</x:v>
      </x:c>
      <x:c r="D8" s="11" t="str">
        <x:v>Three evidence points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27" t="str">
        <x:v>ACE Gears — Product Portfolio Presentation</x:v>
      </x:c>
    </x:row>
    <x:row r="3">
      <x:c r="A3" s="21" t="str">
        <x:v>Total Revenue</x:v>
      </x:c>
      <x:c r="D3" s="21" t="str">
        <x:v>Total Gross Margin</x:v>
      </x:c>
      <x:c r="G3" s="21" t="str">
        <x:v>Overall Margin %</x:v>
      </x:c>
      <x:c r="J3" s="21" t="str">
        <x:v>Total Sales Units</x:v>
      </x:c>
    </x:row>
    <x:row r="4">
      <x:c r="A4" s="30" t="n">
        <x:f>SUM(Product_Portfolio!B2:B4)</x:f>
        <x:v>17021397</x:v>
      </x:c>
      <x:c r="D4" s="30" t="n">
        <x:f>SUM(Product_Portfolio!D2:D4)</x:f>
        <x:v>4751998</x:v>
      </x:c>
      <x:c r="G4" s="32" t="n">
        <x:f>D4/A4</x:f>
        <x:v>0.27917790766527567</x:v>
      </x:c>
      <x:c r="J4" s="30" t="n">
        <x:f>SUM(Product_Portfolio!H2:H4)</x:f>
        <x:v>38130</x:v>
      </x:c>
    </x:row>
    <x:row r="7">
      <x:c r="A7" s="3" t="str">
        <x:v>Product</x:v>
      </x:c>
      <x:c r="B7" s="3" t="str">
        <x:v>Revenue</x:v>
      </x:c>
      <x:c r="C7" s="3" t="str">
        <x:v>Gross Margin</x:v>
      </x:c>
      <x:c r="D7" s="3" t="str">
        <x:v>Revenue Share %</x:v>
      </x:c>
      <x:c r="E7" s="3" t="str">
        <x:v>Sales Conversion %</x:v>
      </x:c>
    </x:row>
    <x:row r="8">
      <x:c r="A8" t="str">
        <x:v>Gears</x:v>
      </x:c>
      <x:c r="B8" t="n">
        <x:f>Product_Portfolio!B2</x:f>
        <x:v>6666000</x:v>
      </x:c>
      <x:c r="C8" t="n">
        <x:f>Product_Portfolio!D2</x:f>
        <x:v>1999801</x:v>
      </x:c>
      <x:c r="D8" s="14" t="n">
        <x:f>Product_Portfolio!F2</x:f>
        <x:v>0.39162472974456797</x:v>
      </x:c>
      <x:c r="E8" s="14" t="n">
        <x:f>Product_Portfolio!I2</x:f>
        <x:v>0.879570747217806</x:v>
      </x:c>
    </x:row>
    <x:row r="9">
      <x:c r="A9" t="str">
        <x:v>Shafts</x:v>
      </x:c>
      <x:c r="B9" t="n">
        <x:f>Product_Portfolio!B3</x:f>
        <x:v>5444998</x:v>
      </x:c>
      <x:c r="C9" t="n">
        <x:f>Product_Portfolio!D3</x:f>
        <x:v>1524598</x:v>
      </x:c>
      <x:c r="D9" s="14" t="n">
        <x:f>Product_Portfolio!F3</x:f>
        <x:v>0.3198913696684238</x:v>
      </x:c>
      <x:c r="E9" s="14" t="n">
        <x:f>Product_Portfolio!I3</x:f>
        <x:v>0.8695346548573035</x:v>
      </x:c>
    </x:row>
    <x:row r="10">
      <x:c r="A10" t="str">
        <x:v>Bearings</x:v>
      </x:c>
      <x:c r="B10" t="n">
        <x:f>Product_Portfolio!B4</x:f>
        <x:v>4910399</x:v>
      </x:c>
      <x:c r="C10" t="n">
        <x:f>Product_Portfolio!D4</x:f>
        <x:v>1227599</x:v>
      </x:c>
      <x:c r="D10" s="14" t="n">
        <x:f>Product_Portfolio!F4</x:f>
        <x:v>0.28848390058700824</x:v>
      </x:c>
      <x:c r="E10" s="14" t="n">
        <x:f>Product_Portfolio!I4</x:f>
        <x:v>0.8596418732782369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e4846a174bca4e1e"/>
</x:worksheet>
</file>

<file path=xl/worksheets/sheet1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.380000114440918" hidden="0" customWidth="1"/>
    <x:col min="3" max="3" width="8.880000114440918" hidden="0" customWidth="1"/>
  </x:cols>
  <x:sheetData>
    <x:row r="1">
      <x:c r="A1" s="3" t="str">
        <x:v>Product</x:v>
      </x:c>
      <x:c r="B1" s="3" t="str">
        <x:v>Production Units</x:v>
      </x:c>
      <x:c r="C1" s="3" t="str">
        <x:v>Sales Units</x:v>
      </x:c>
    </x:row>
    <x:row r="2">
      <x:c r="A2" t="str">
        <x:v>Gears</x:v>
      </x:c>
      <x:c r="B2" t="n">
        <x:f>Product_Portfolio!G2</x:f>
        <x:v>15096</x:v>
      </x:c>
      <x:c r="C2" t="n">
        <x:f>Product_Portfolio!H2</x:f>
        <x:v>13278</x:v>
      </x:c>
    </x:row>
    <x:row r="3">
      <x:c r="A3" t="str">
        <x:v>Shafts</x:v>
      </x:c>
      <x:c r="B3" t="n">
        <x:f>Product_Portfolio!G3</x:f>
        <x:v>14226</x:v>
      </x:c>
      <x:c r="C3" t="n">
        <x:f>Product_Portfolio!H3</x:f>
        <x:v>12370</x:v>
      </x:c>
    </x:row>
    <x:row r="4">
      <x:c r="A4" t="str">
        <x:v>Bearings</x:v>
      </x:c>
      <x:c r="B4" t="n">
        <x:f>Product_Portfolio!G4</x:f>
        <x:v>14520</x:v>
      </x:c>
      <x:c r="C4" t="n">
        <x:f>Product_Portfolio!H4</x:f>
        <x:v>12482</x:v>
      </x:c>
    </x:row>
  </x:sheetData>
  <x:pageMargins left="0.7" right="0.7" top="0.75" bottom="0.75" header="0.3" footer="0.3"/>
  <x:drawing xmlns:r="http://schemas.openxmlformats.org/officeDocument/2006/relationships" r:id="R06b061fc2951457a"/>
</x:worksheet>
</file>

<file path=xl/worksheets/sheet12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48" hidden="0" customWidth="1"/>
  </x:cols>
  <x:sheetData>
    <x:row r="1">
      <x:c r="A1" s="24" t="str">
        <x:v>Step</x:v>
      </x:c>
      <x:c r="B1" s="24" t="str">
        <x:v>Instruction</x:v>
      </x:c>
    </x:row>
    <x:row r="2">
      <x:c r="A2" s="11" t="n">
        <x:v>1</x:v>
      </x:c>
      <x:c r="B2" s="11" t="str">
        <x:v>Open Portfolio_Data and understand the source fields.</x:v>
      </x:c>
    </x:row>
    <x:row r="3">
      <x:c r="A3" s="11" t="n">
        <x:v>2</x:v>
      </x:c>
      <x:c r="B3" s="11" t="str">
        <x:v>Review Product_Portfolio and verify the calculated metrics.</x:v>
      </x:c>
    </x:row>
    <x:row r="4">
      <x:c r="A4" s="11" t="n">
        <x:v>3</x:v>
      </x:c>
      <x:c r="B4" s="11" t="str">
        <x:v>Study Revenue_Presentation and Margin_Presentation.</x:v>
      </x:c>
    </x:row>
    <x:row r="5">
      <x:c r="A5" s="11" t="n">
        <x:v>4</x:v>
      </x:c>
      <x:c r="B5" s="11" t="str">
        <x:v>Review Revenue_Share and Operations_Presentation.</x:v>
      </x:c>
    </x:row>
    <x:row r="6">
      <x:c r="A6" s="11" t="n">
        <x:v>5</x:v>
      </x:c>
      <x:c r="B6" s="11" t="str">
        <x:v>Answer Presentation_Questions using calculated evidence.</x:v>
      </x:c>
    </x:row>
    <x:row r="7">
      <x:c r="A7" s="11" t="n">
        <x:v>6</x:v>
      </x:c>
      <x:c r="B7" s="11" t="str">
        <x:v>Follow Presentation_Plan to organize the story.</x:v>
      </x:c>
    </x:row>
    <x:row r="8">
      <x:c r="A8" s="11" t="n">
        <x:v>7</x:v>
      </x:c>
      <x:c r="B8" s="11" t="str">
        <x:v>Open Portfolio_Presentation_Dashboard and explain every chart.</x:v>
      </x:c>
    </x:row>
    <x:row r="9">
      <x:c r="A9" s="11" t="n">
        <x:v>8</x:v>
      </x:c>
      <x:c r="B9" s="11" t="str">
        <x:v>Write three concise evidence-based closing observations.</x:v>
      </x:c>
    </x:row>
  </x:sheetData>
  <x:pageMargins left="0.7" right="0.7" top="0.75" bottom="0.75" header="0.3" footer="0.3"/>
</x:worksheet>
</file>