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_Data" sheetId="1" state="visible" r:id="rId1"/>
    <sheet xmlns:r="http://schemas.openxmlformats.org/officeDocument/2006/relationships" name="OEE_Product_Summary" sheetId="2" state="visible" r:id="rId2"/>
    <sheet xmlns:r="http://schemas.openxmlformats.org/officeDocument/2006/relationships" name="OEE_Monthly" sheetId="3" state="visible" r:id="rId3"/>
    <sheet xmlns:r="http://schemas.openxmlformats.org/officeDocument/2006/relationships" name="OEE_Region" sheetId="4" state="visible" r:id="rId4"/>
    <sheet xmlns:r="http://schemas.openxmlformats.org/officeDocument/2006/relationships" name="OEE_Product_Region" sheetId="5" state="visible" r:id="rId5"/>
    <sheet xmlns:r="http://schemas.openxmlformats.org/officeDocument/2006/relationships" name="OEE_Components" sheetId="6" state="visible" r:id="rId6"/>
    <sheet xmlns:r="http://schemas.openxmlformats.org/officeDocument/2006/relationships" name="OEE_Questions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OEE_Working" sheetId="10" state="visible" r:id="rId10"/>
    <sheet xmlns:r="http://schemas.openxmlformats.org/officeDocument/2006/relationships" name="OEE_Discussion_Dashboard" sheetId="11" state="visible" r:id="rId11"/>
    <sheet xmlns:r="http://schemas.openxmlformats.org/officeDocument/2006/relationships" name="Instructions" sheetId="12" state="visible" r:id="rId12"/>
  </sheets>
  <definedNames>
    <definedName name="_xlnm._FilterDatabase" localSheetId="0" hidden="1">'OEE_Data'!$A$1:$N$55</definedName>
    <definedName name="_xlnm._FilterDatabase" localSheetId="1" hidden="1">'OEE_Product_Summary'!$A$1:$J$4</definedName>
    <definedName name="_xlnm._FilterDatabase" localSheetId="2" hidden="1">'OEE_Monthly'!$A$1:$J$7</definedName>
    <definedName name="_xlnm._FilterDatabase" localSheetId="3" hidden="1">'OEE_Region'!$A$1:$J$4</definedName>
    <definedName name="_xlnm._FilterDatabase" localSheetId="4" hidden="1">'OEE_Product_Region'!$A$1:$K$10</definedName>
    <definedName name="_xlnm._FilterDatabase" localSheetId="5" hidden="1">'OEE_Components'!$A$1:$C$5</definedName>
    <definedName name="_xlnm._FilterDatabase" localSheetId="6" hidden="1">'OEE_Questions'!$A$1:$C$11</definedName>
    <definedName name="_xlnm._FilterDatabase" localSheetId="7" hidden="1">'Business_Insights'!$A$1:$C$8</definedName>
    <definedName name="_xlnm._FilterDatabase" localSheetId="8" hidden="1">'Data_Dictionary'!$A$1:$C$15</definedName>
    <definedName name="_xlnm._FilterDatabase" localSheetId="9" hidden="1">'OEE_Working'!$A$1:$C$12</definedName>
    <definedName name="_xlnm._FilterDatabase" localSheetId="11" hidden="1">'Instructions'!$A$1:$B$11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OEE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'OEE_Product_Summary'!J1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'OEE_Product_Summary'!$A$2:$A$4</f>
            </numRef>
          </cat>
          <val>
            <numRef>
              <f>'OEE_Product_Summary'!$J$2:$J$4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OEE Trend</a:t>
            </a:r>
          </a:p>
        </rich>
      </tx>
    </title>
    <plotArea>
      <lineChart>
        <grouping val="standard"/>
        <ser>
          <idx val="0"/>
          <order val="0"/>
          <tx>
            <strRef>
              <f>'OEE_Monthly'!J1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'OEE_Monthly'!$A$2:$A$7</f>
            </numRef>
          </cat>
          <val>
            <numRef>
              <f>'OEE_Monthly'!$J$2:$J$7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OEE Components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'OEE_Product_Summary'!G1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'OEE_Product_Summary'!$A$2:$A$4</f>
            </numRef>
          </cat>
          <val>
            <numRef>
              <f>'OEE_Product_Summary'!$G$2:$G$4</f>
            </numRef>
          </val>
        </ser>
        <ser>
          <idx val="1"/>
          <order val="1"/>
          <tx>
            <strRef>
              <f>'OEE_Product_Summary'!H1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'OEE_Product_Summary'!$A$2:$A$4</f>
            </numRef>
          </cat>
          <val>
            <numRef>
              <f>'OEE_Product_Summary'!$H$2:$H$4</f>
            </numRef>
          </val>
        </ser>
        <ser>
          <idx val="2"/>
          <order val="2"/>
          <tx>
            <strRef>
              <f>'OEE_Product_Summary'!I1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'OEE_Product_Summary'!$A$2:$A$4</f>
            </numRef>
          </cat>
          <val>
            <numRef>
              <f>'OEE_Product_Summary'!$I$2:$I$4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OEE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'OEE_Region'!J1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cat>
            <numRef>
              <f>'OEE_Region'!$A$2:$A$4</f>
            </numRef>
          </cat>
          <val>
            <numRef>
              <f>'OEE_Region'!$J$2:$J$4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21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22" customWidth="1" min="8" max="8"/>
    <col width="13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Planned_Time_Min</t>
        </is>
      </c>
      <c r="F1" s="1" t="inlineStr">
        <is>
          <t>Downtime_Min</t>
        </is>
      </c>
      <c r="G1" s="1" t="inlineStr">
        <is>
          <t>Run_Time_Min</t>
        </is>
      </c>
      <c r="H1" s="1" t="inlineStr">
        <is>
          <t>Ideal_Cycle_Time_Sec</t>
        </is>
      </c>
      <c r="I1" s="1" t="inlineStr">
        <is>
          <t>Total_Count</t>
        </is>
      </c>
      <c r="J1" s="1" t="inlineStr">
        <is>
          <t>Good_Count</t>
        </is>
      </c>
      <c r="K1" s="1" t="inlineStr">
        <is>
          <t>Availability</t>
        </is>
      </c>
      <c r="L1" s="1" t="inlineStr">
        <is>
          <t>Performance</t>
        </is>
      </c>
      <c r="M1" s="1" t="inlineStr">
        <is>
          <t>Quality</t>
        </is>
      </c>
      <c r="N1" s="1" t="inlineStr">
        <is>
          <t>OEE</t>
        </is>
      </c>
    </row>
    <row r="2">
      <c r="A2" t="inlineStr">
        <is>
          <t>OEE001</t>
        </is>
      </c>
      <c r="B2" t="inlineStr">
        <is>
          <t>2023-01</t>
        </is>
      </c>
      <c r="C2" t="inlineStr">
        <is>
          <t>Gears</t>
        </is>
      </c>
      <c r="D2" t="inlineStr">
        <is>
          <t>North</t>
        </is>
      </c>
      <c r="E2" s="2" t="n">
        <v>480</v>
      </c>
      <c r="F2" s="2" t="n">
        <v>34</v>
      </c>
      <c r="G2" s="2" t="n">
        <v>446</v>
      </c>
      <c r="H2" s="2" t="n">
        <v>28</v>
      </c>
      <c r="I2" s="2" t="n">
        <v>1058</v>
      </c>
      <c r="J2" s="2" t="n">
        <v>1034</v>
      </c>
      <c r="K2" s="3" t="n">
        <v>0.9291666666666667</v>
      </c>
      <c r="L2" s="3" t="n">
        <v>0.9197309417040359</v>
      </c>
      <c r="M2" s="3" t="n">
        <v>0.9773156899810964</v>
      </c>
      <c r="N2" s="3" t="n">
        <v>0.835197700063012</v>
      </c>
    </row>
    <row r="3">
      <c r="A3" t="inlineStr">
        <is>
          <t>OEE002</t>
        </is>
      </c>
      <c r="B3" t="inlineStr">
        <is>
          <t>2023-01</t>
        </is>
      </c>
      <c r="C3" t="inlineStr">
        <is>
          <t>Gears</t>
        </is>
      </c>
      <c r="D3" t="inlineStr">
        <is>
          <t>South</t>
        </is>
      </c>
      <c r="E3" s="2" t="n">
        <v>480</v>
      </c>
      <c r="F3" s="2" t="n">
        <v>34</v>
      </c>
      <c r="G3" s="2" t="n">
        <v>446</v>
      </c>
      <c r="H3" s="2" t="n">
        <v>28</v>
      </c>
      <c r="I3" s="2" t="n">
        <v>960</v>
      </c>
      <c r="J3" s="2" t="n">
        <v>938</v>
      </c>
      <c r="K3" s="3" t="n">
        <v>0.9291666666666667</v>
      </c>
      <c r="L3" s="3" t="n">
        <v>0.9197309417040359</v>
      </c>
      <c r="M3" s="3" t="n">
        <v>0.9770833333333333</v>
      </c>
      <c r="N3" s="3" t="n">
        <v>0.8349991319444444</v>
      </c>
    </row>
    <row r="4">
      <c r="A4" t="inlineStr">
        <is>
          <t>OEE003</t>
        </is>
      </c>
      <c r="B4" t="inlineStr">
        <is>
          <t>2023-01</t>
        </is>
      </c>
      <c r="C4" t="inlineStr">
        <is>
          <t>Gears</t>
        </is>
      </c>
      <c r="D4" t="inlineStr">
        <is>
          <t>West</t>
        </is>
      </c>
      <c r="E4" s="2" t="n">
        <v>480</v>
      </c>
      <c r="F4" s="2" t="n">
        <v>34</v>
      </c>
      <c r="G4" s="2" t="n">
        <v>446</v>
      </c>
      <c r="H4" s="2" t="n">
        <v>28</v>
      </c>
      <c r="I4" s="2" t="n">
        <v>921</v>
      </c>
      <c r="J4" s="2" t="n">
        <v>900</v>
      </c>
      <c r="K4" s="3" t="n">
        <v>0.9291666666666667</v>
      </c>
      <c r="L4" s="3" t="n">
        <v>0.9197309417040359</v>
      </c>
      <c r="M4" s="3" t="n">
        <v>0.9771986970684039</v>
      </c>
      <c r="N4" s="3" t="n">
        <v>0.8350977198697068</v>
      </c>
    </row>
    <row r="5">
      <c r="A5" t="inlineStr">
        <is>
          <t>OEE004</t>
        </is>
      </c>
      <c r="B5" t="inlineStr">
        <is>
          <t>2023-01</t>
        </is>
      </c>
      <c r="C5" t="inlineStr">
        <is>
          <t>Shafts</t>
        </is>
      </c>
      <c r="D5" t="inlineStr">
        <is>
          <t>North</t>
        </is>
      </c>
      <c r="E5" s="2" t="n">
        <v>480</v>
      </c>
      <c r="F5" s="2" t="n">
        <v>43</v>
      </c>
      <c r="G5" s="2" t="n">
        <v>437</v>
      </c>
      <c r="H5" s="2" t="n">
        <v>31</v>
      </c>
      <c r="I5" s="2" t="n">
        <v>940</v>
      </c>
      <c r="J5" s="2" t="n">
        <v>916</v>
      </c>
      <c r="K5" s="3" t="n">
        <v>0.9104166666666667</v>
      </c>
      <c r="L5" s="3" t="n">
        <v>0.8997330282227308</v>
      </c>
      <c r="M5" s="3" t="n">
        <v>0.9744680851063829</v>
      </c>
      <c r="N5" s="3" t="n">
        <v>0.7982179373522459</v>
      </c>
    </row>
    <row r="6">
      <c r="A6" t="inlineStr">
        <is>
          <t>OEE005</t>
        </is>
      </c>
      <c r="B6" t="inlineStr">
        <is>
          <t>2023-01</t>
        </is>
      </c>
      <c r="C6" t="inlineStr">
        <is>
          <t>Shafts</t>
        </is>
      </c>
      <c r="D6" t="inlineStr">
        <is>
          <t>South</t>
        </is>
      </c>
      <c r="E6" s="2" t="n">
        <v>480</v>
      </c>
      <c r="F6" s="2" t="n">
        <v>43</v>
      </c>
      <c r="G6" s="2" t="n">
        <v>437</v>
      </c>
      <c r="H6" s="2" t="n">
        <v>31</v>
      </c>
      <c r="I6" s="2" t="n">
        <v>853</v>
      </c>
      <c r="J6" s="2" t="n">
        <v>831</v>
      </c>
      <c r="K6" s="3" t="n">
        <v>0.9104166666666667</v>
      </c>
      <c r="L6" s="3" t="n">
        <v>0.8997330282227308</v>
      </c>
      <c r="M6" s="3" t="n">
        <v>0.9742086752637749</v>
      </c>
      <c r="N6" s="3" t="n">
        <v>0.7980054464634623</v>
      </c>
    </row>
    <row r="7">
      <c r="A7" t="inlineStr">
        <is>
          <t>OEE006</t>
        </is>
      </c>
      <c r="B7" t="inlineStr">
        <is>
          <t>2023-01</t>
        </is>
      </c>
      <c r="C7" t="inlineStr">
        <is>
          <t>Shafts</t>
        </is>
      </c>
      <c r="D7" t="inlineStr">
        <is>
          <t>West</t>
        </is>
      </c>
      <c r="E7" s="2" t="n">
        <v>480</v>
      </c>
      <c r="F7" s="2" t="n">
        <v>43</v>
      </c>
      <c r="G7" s="2" t="n">
        <v>437</v>
      </c>
      <c r="H7" s="2" t="n">
        <v>31</v>
      </c>
      <c r="I7" s="2" t="n">
        <v>818</v>
      </c>
      <c r="J7" s="2" t="n">
        <v>797</v>
      </c>
      <c r="K7" s="3" t="n">
        <v>0.9104166666666667</v>
      </c>
      <c r="L7" s="3" t="n">
        <v>0.8997330282227308</v>
      </c>
      <c r="M7" s="3" t="n">
        <v>0.9743276283618582</v>
      </c>
      <c r="N7" s="3" t="n">
        <v>0.7981028847459929</v>
      </c>
    </row>
    <row r="8">
      <c r="A8" t="inlineStr">
        <is>
          <t>OEE007</t>
        </is>
      </c>
      <c r="B8" t="inlineStr">
        <is>
          <t>2023-01</t>
        </is>
      </c>
      <c r="C8" t="inlineStr">
        <is>
          <t>Bearings</t>
        </is>
      </c>
      <c r="D8" t="inlineStr">
        <is>
          <t>North</t>
        </is>
      </c>
      <c r="E8" s="2" t="n">
        <v>480</v>
      </c>
      <c r="F8" s="2" t="n">
        <v>53</v>
      </c>
      <c r="G8" s="2" t="n">
        <v>427</v>
      </c>
      <c r="H8" s="2" t="n">
        <v>34</v>
      </c>
      <c r="I8" s="2" t="n">
        <v>896</v>
      </c>
      <c r="J8" s="2" t="n">
        <v>869</v>
      </c>
      <c r="K8" s="3" t="n">
        <v>0.8895833333333333</v>
      </c>
      <c r="L8" s="3" t="n">
        <v>0.8904761904761905</v>
      </c>
      <c r="M8" s="3" t="n">
        <v>0.9698660714285714</v>
      </c>
      <c r="N8" s="3" t="n">
        <v>0.7682821025545635</v>
      </c>
    </row>
    <row r="9">
      <c r="A9" t="inlineStr">
        <is>
          <t>OEE008</t>
        </is>
      </c>
      <c r="B9" t="inlineStr">
        <is>
          <t>2023-01</t>
        </is>
      </c>
      <c r="C9" t="inlineStr">
        <is>
          <t>Bearings</t>
        </is>
      </c>
      <c r="D9" t="inlineStr">
        <is>
          <t>South</t>
        </is>
      </c>
      <c r="E9" s="2" t="n">
        <v>480</v>
      </c>
      <c r="F9" s="2" t="n">
        <v>53</v>
      </c>
      <c r="G9" s="2" t="n">
        <v>427</v>
      </c>
      <c r="H9" s="2" t="n">
        <v>34</v>
      </c>
      <c r="I9" s="2" t="n">
        <v>813</v>
      </c>
      <c r="J9" s="2" t="n">
        <v>789</v>
      </c>
      <c r="K9" s="3" t="n">
        <v>0.8895833333333333</v>
      </c>
      <c r="L9" s="3" t="n">
        <v>0.8904761904761905</v>
      </c>
      <c r="M9" s="3" t="n">
        <v>0.9704797047970479</v>
      </c>
      <c r="N9" s="3" t="n">
        <v>0.7687681939319393</v>
      </c>
    </row>
    <row r="10">
      <c r="A10" t="inlineStr">
        <is>
          <t>OEE009</t>
        </is>
      </c>
      <c r="B10" t="inlineStr">
        <is>
          <t>2023-01</t>
        </is>
      </c>
      <c r="C10" t="inlineStr">
        <is>
          <t>Bearings</t>
        </is>
      </c>
      <c r="D10" t="inlineStr">
        <is>
          <t>West</t>
        </is>
      </c>
      <c r="E10" s="2" t="n">
        <v>480</v>
      </c>
      <c r="F10" s="2" t="n">
        <v>53</v>
      </c>
      <c r="G10" s="2" t="n">
        <v>427</v>
      </c>
      <c r="H10" s="2" t="n">
        <v>34</v>
      </c>
      <c r="I10" s="2" t="n">
        <v>780</v>
      </c>
      <c r="J10" s="2" t="n">
        <v>757</v>
      </c>
      <c r="K10" s="3" t="n">
        <v>0.8895833333333333</v>
      </c>
      <c r="L10" s="3" t="n">
        <v>0.8904761904761905</v>
      </c>
      <c r="M10" s="3" t="n">
        <v>0.9705128205128205</v>
      </c>
      <c r="N10" s="3" t="n">
        <v>0.7687944266381767</v>
      </c>
    </row>
    <row r="11">
      <c r="A11" t="inlineStr">
        <is>
          <t>OEE010</t>
        </is>
      </c>
      <c r="B11" t="inlineStr">
        <is>
          <t>2023-02</t>
        </is>
      </c>
      <c r="C11" t="inlineStr">
        <is>
          <t>Gears</t>
        </is>
      </c>
      <c r="D11" t="inlineStr">
        <is>
          <t>North</t>
        </is>
      </c>
      <c r="E11" s="2" t="n">
        <v>480</v>
      </c>
      <c r="F11" s="2" t="n">
        <v>29</v>
      </c>
      <c r="G11" s="2" t="n">
        <v>451</v>
      </c>
      <c r="H11" s="2" t="n">
        <v>28</v>
      </c>
      <c r="I11" s="2" t="n">
        <v>1080</v>
      </c>
      <c r="J11" s="2" t="n">
        <v>1053</v>
      </c>
      <c r="K11" s="3" t="n">
        <v>0.9395833333333333</v>
      </c>
      <c r="L11" s="3" t="n">
        <v>0.9095343680709534</v>
      </c>
      <c r="M11" s="3" t="n">
        <v>0.975</v>
      </c>
      <c r="N11" s="3" t="n">
        <v>0.83321875</v>
      </c>
    </row>
    <row r="12">
      <c r="A12" t="inlineStr">
        <is>
          <t>OEE011</t>
        </is>
      </c>
      <c r="B12" t="inlineStr">
        <is>
          <t>2023-02</t>
        </is>
      </c>
      <c r="C12" t="inlineStr">
        <is>
          <t>Gears</t>
        </is>
      </c>
      <c r="D12" t="inlineStr">
        <is>
          <t>South</t>
        </is>
      </c>
      <c r="E12" s="2" t="n">
        <v>480</v>
      </c>
      <c r="F12" s="2" t="n">
        <v>29</v>
      </c>
      <c r="G12" s="2" t="n">
        <v>451</v>
      </c>
      <c r="H12" s="2" t="n">
        <v>28</v>
      </c>
      <c r="I12" s="2" t="n">
        <v>980</v>
      </c>
      <c r="J12" s="2" t="n">
        <v>956</v>
      </c>
      <c r="K12" s="3" t="n">
        <v>0.9395833333333333</v>
      </c>
      <c r="L12" s="3" t="n">
        <v>0.9095343680709534</v>
      </c>
      <c r="M12" s="3" t="n">
        <v>0.9755102040816327</v>
      </c>
      <c r="N12" s="3" t="n">
        <v>0.833654761904762</v>
      </c>
    </row>
    <row r="13">
      <c r="A13" t="inlineStr">
        <is>
          <t>OEE012</t>
        </is>
      </c>
      <c r="B13" t="inlineStr">
        <is>
          <t>2023-02</t>
        </is>
      </c>
      <c r="C13" t="inlineStr">
        <is>
          <t>Gears</t>
        </is>
      </c>
      <c r="D13" t="inlineStr">
        <is>
          <t>West</t>
        </is>
      </c>
      <c r="E13" s="2" t="n">
        <v>480</v>
      </c>
      <c r="F13" s="2" t="n">
        <v>29</v>
      </c>
      <c r="G13" s="2" t="n">
        <v>451</v>
      </c>
      <c r="H13" s="2" t="n">
        <v>28</v>
      </c>
      <c r="I13" s="2" t="n">
        <v>940</v>
      </c>
      <c r="J13" s="2" t="n">
        <v>916</v>
      </c>
      <c r="K13" s="3" t="n">
        <v>0.9395833333333333</v>
      </c>
      <c r="L13" s="3" t="n">
        <v>0.9095343680709534</v>
      </c>
      <c r="M13" s="3" t="n">
        <v>0.9744680851063829</v>
      </c>
      <c r="N13" s="3" t="n">
        <v>0.8327641843971632</v>
      </c>
    </row>
    <row r="14">
      <c r="A14" t="inlineStr">
        <is>
          <t>OEE013</t>
        </is>
      </c>
      <c r="B14" t="inlineStr">
        <is>
          <t>2023-02</t>
        </is>
      </c>
      <c r="C14" t="inlineStr">
        <is>
          <t>Shafts</t>
        </is>
      </c>
      <c r="D14" t="inlineStr">
        <is>
          <t>North</t>
        </is>
      </c>
      <c r="E14" s="2" t="n">
        <v>480</v>
      </c>
      <c r="F14" s="2" t="n">
        <v>38</v>
      </c>
      <c r="G14" s="2" t="n">
        <v>442</v>
      </c>
      <c r="H14" s="2" t="n">
        <v>31</v>
      </c>
      <c r="I14" s="2" t="n">
        <v>958</v>
      </c>
      <c r="J14" s="2" t="n">
        <v>931</v>
      </c>
      <c r="K14" s="3" t="n">
        <v>0.9208333333333333</v>
      </c>
      <c r="L14" s="3" t="n">
        <v>0.8895550527903469</v>
      </c>
      <c r="M14" s="3" t="n">
        <v>0.9718162839248434</v>
      </c>
      <c r="N14" s="3" t="n">
        <v>0.7960457622941313</v>
      </c>
    </row>
    <row r="15">
      <c r="A15" t="inlineStr">
        <is>
          <t>OEE014</t>
        </is>
      </c>
      <c r="B15" t="inlineStr">
        <is>
          <t>2023-02</t>
        </is>
      </c>
      <c r="C15" t="inlineStr">
        <is>
          <t>Shafts</t>
        </is>
      </c>
      <c r="D15" t="inlineStr">
        <is>
          <t>South</t>
        </is>
      </c>
      <c r="E15" s="2" t="n">
        <v>480</v>
      </c>
      <c r="F15" s="2" t="n">
        <v>38</v>
      </c>
      <c r="G15" s="2" t="n">
        <v>442</v>
      </c>
      <c r="H15" s="2" t="n">
        <v>31</v>
      </c>
      <c r="I15" s="2" t="n">
        <v>870</v>
      </c>
      <c r="J15" s="2" t="n">
        <v>846</v>
      </c>
      <c r="K15" s="3" t="n">
        <v>0.9208333333333333</v>
      </c>
      <c r="L15" s="3" t="n">
        <v>0.8895550527903469</v>
      </c>
      <c r="M15" s="3" t="n">
        <v>0.9724137931034482</v>
      </c>
      <c r="N15" s="3" t="n">
        <v>0.7965352011494252</v>
      </c>
    </row>
    <row r="16">
      <c r="A16" t="inlineStr">
        <is>
          <t>OEE015</t>
        </is>
      </c>
      <c r="B16" t="inlineStr">
        <is>
          <t>2023-02</t>
        </is>
      </c>
      <c r="C16" t="inlineStr">
        <is>
          <t>Shafts</t>
        </is>
      </c>
      <c r="D16" t="inlineStr">
        <is>
          <t>West</t>
        </is>
      </c>
      <c r="E16" s="2" t="n">
        <v>480</v>
      </c>
      <c r="F16" s="2" t="n">
        <v>38</v>
      </c>
      <c r="G16" s="2" t="n">
        <v>442</v>
      </c>
      <c r="H16" s="2" t="n">
        <v>31</v>
      </c>
      <c r="I16" s="2" t="n">
        <v>834</v>
      </c>
      <c r="J16" s="2" t="n">
        <v>811</v>
      </c>
      <c r="K16" s="3" t="n">
        <v>0.9208333333333333</v>
      </c>
      <c r="L16" s="3" t="n">
        <v>0.8895550527903469</v>
      </c>
      <c r="M16" s="3" t="n">
        <v>0.9724220623501199</v>
      </c>
      <c r="N16" s="3" t="n">
        <v>0.7965419747535304</v>
      </c>
    </row>
    <row r="17">
      <c r="A17" t="inlineStr">
        <is>
          <t>OEE016</t>
        </is>
      </c>
      <c r="B17" t="inlineStr">
        <is>
          <t>2023-02</t>
        </is>
      </c>
      <c r="C17" t="inlineStr">
        <is>
          <t>Bearings</t>
        </is>
      </c>
      <c r="D17" t="inlineStr">
        <is>
          <t>North</t>
        </is>
      </c>
      <c r="E17" s="2" t="n">
        <v>480</v>
      </c>
      <c r="F17" s="2" t="n">
        <v>48</v>
      </c>
      <c r="G17" s="2" t="n">
        <v>432</v>
      </c>
      <c r="H17" s="2" t="n">
        <v>34</v>
      </c>
      <c r="I17" s="2" t="n">
        <v>914</v>
      </c>
      <c r="J17" s="2" t="n">
        <v>885</v>
      </c>
      <c r="K17" s="3" t="n">
        <v>0.9</v>
      </c>
      <c r="L17" s="3" t="n">
        <v>0.8801697530864198</v>
      </c>
      <c r="M17" s="3" t="n">
        <v>0.9682713347921226</v>
      </c>
      <c r="N17" s="3" t="n">
        <v>0.7670188274981766</v>
      </c>
    </row>
    <row r="18">
      <c r="A18" t="inlineStr">
        <is>
          <t>OEE017</t>
        </is>
      </c>
      <c r="B18" t="inlineStr">
        <is>
          <t>2023-02</t>
        </is>
      </c>
      <c r="C18" t="inlineStr">
        <is>
          <t>Bearings</t>
        </is>
      </c>
      <c r="D18" t="inlineStr">
        <is>
          <t>South</t>
        </is>
      </c>
      <c r="E18" s="2" t="n">
        <v>480</v>
      </c>
      <c r="F18" s="2" t="n">
        <v>48</v>
      </c>
      <c r="G18" s="2" t="n">
        <v>432</v>
      </c>
      <c r="H18" s="2" t="n">
        <v>34</v>
      </c>
      <c r="I18" s="2" t="n">
        <v>830</v>
      </c>
      <c r="J18" s="2" t="n">
        <v>803</v>
      </c>
      <c r="K18" s="3" t="n">
        <v>0.9</v>
      </c>
      <c r="L18" s="3" t="n">
        <v>0.8801697530864198</v>
      </c>
      <c r="M18" s="3" t="n">
        <v>0.9674698795180723</v>
      </c>
      <c r="N18" s="3" t="n">
        <v>0.766383952476573</v>
      </c>
    </row>
    <row r="19">
      <c r="A19" t="inlineStr">
        <is>
          <t>OEE018</t>
        </is>
      </c>
      <c r="B19" t="inlineStr">
        <is>
          <t>2023-02</t>
        </is>
      </c>
      <c r="C19" t="inlineStr">
        <is>
          <t>Bearings</t>
        </is>
      </c>
      <c r="D19" t="inlineStr">
        <is>
          <t>West</t>
        </is>
      </c>
      <c r="E19" s="2" t="n">
        <v>480</v>
      </c>
      <c r="F19" s="2" t="n">
        <v>48</v>
      </c>
      <c r="G19" s="2" t="n">
        <v>432</v>
      </c>
      <c r="H19" s="2" t="n">
        <v>34</v>
      </c>
      <c r="I19" s="2" t="n">
        <v>796</v>
      </c>
      <c r="J19" s="2" t="n">
        <v>771</v>
      </c>
      <c r="K19" s="3" t="n">
        <v>0.9</v>
      </c>
      <c r="L19" s="3" t="n">
        <v>0.8801697530864198</v>
      </c>
      <c r="M19" s="3" t="n">
        <v>0.9685929648241206</v>
      </c>
      <c r="N19" s="3" t="n">
        <v>0.7672736076214406</v>
      </c>
    </row>
    <row r="20">
      <c r="A20" t="inlineStr">
        <is>
          <t>OEE019</t>
        </is>
      </c>
      <c r="B20" t="inlineStr">
        <is>
          <t>2023-03</t>
        </is>
      </c>
      <c r="C20" t="inlineStr">
        <is>
          <t>Gears</t>
        </is>
      </c>
      <c r="D20" t="inlineStr">
        <is>
          <t>North</t>
        </is>
      </c>
      <c r="E20" s="2" t="n">
        <v>480</v>
      </c>
      <c r="F20" s="2" t="n">
        <v>36</v>
      </c>
      <c r="G20" s="2" t="n">
        <v>444</v>
      </c>
      <c r="H20" s="2" t="n">
        <v>28</v>
      </c>
      <c r="I20" s="2" t="n">
        <v>1101</v>
      </c>
      <c r="J20" s="2" t="n">
        <v>1072</v>
      </c>
      <c r="K20" s="3" t="n">
        <v>0.925</v>
      </c>
      <c r="L20" s="3" t="n">
        <v>0.9049549549549549</v>
      </c>
      <c r="M20" s="3" t="n">
        <v>0.9736603088101726</v>
      </c>
      <c r="N20" s="3" t="n">
        <v>0.815034816833182</v>
      </c>
    </row>
    <row r="21">
      <c r="A21" t="inlineStr">
        <is>
          <t>OEE020</t>
        </is>
      </c>
      <c r="B21" t="inlineStr">
        <is>
          <t>2023-03</t>
        </is>
      </c>
      <c r="C21" t="inlineStr">
        <is>
          <t>Gears</t>
        </is>
      </c>
      <c r="D21" t="inlineStr">
        <is>
          <t>South</t>
        </is>
      </c>
      <c r="E21" s="2" t="n">
        <v>480</v>
      </c>
      <c r="F21" s="2" t="n">
        <v>36</v>
      </c>
      <c r="G21" s="2" t="n">
        <v>444</v>
      </c>
      <c r="H21" s="2" t="n">
        <v>28</v>
      </c>
      <c r="I21" s="2" t="n">
        <v>999</v>
      </c>
      <c r="J21" s="2" t="n">
        <v>973</v>
      </c>
      <c r="K21" s="3" t="n">
        <v>0.925</v>
      </c>
      <c r="L21" s="3" t="n">
        <v>0.9049549549549549</v>
      </c>
      <c r="M21" s="3" t="n">
        <v>0.973973973973974</v>
      </c>
      <c r="N21" s="3" t="n">
        <v>0.8152973807140474</v>
      </c>
    </row>
    <row r="22">
      <c r="A22" t="inlineStr">
        <is>
          <t>OEE021</t>
        </is>
      </c>
      <c r="B22" t="inlineStr">
        <is>
          <t>2023-03</t>
        </is>
      </c>
      <c r="C22" t="inlineStr">
        <is>
          <t>Gears</t>
        </is>
      </c>
      <c r="D22" t="inlineStr">
        <is>
          <t>West</t>
        </is>
      </c>
      <c r="E22" s="2" t="n">
        <v>480</v>
      </c>
      <c r="F22" s="2" t="n">
        <v>36</v>
      </c>
      <c r="G22" s="2" t="n">
        <v>444</v>
      </c>
      <c r="H22" s="2" t="n">
        <v>28</v>
      </c>
      <c r="I22" s="2" t="n">
        <v>958</v>
      </c>
      <c r="J22" s="2" t="n">
        <v>933</v>
      </c>
      <c r="K22" s="3" t="n">
        <v>0.925</v>
      </c>
      <c r="L22" s="3" t="n">
        <v>0.9049549549549549</v>
      </c>
      <c r="M22" s="3" t="n">
        <v>0.9739039665970772</v>
      </c>
      <c r="N22" s="3" t="n">
        <v>0.8152387787056368</v>
      </c>
    </row>
    <row r="23">
      <c r="A23" t="inlineStr">
        <is>
          <t>OEE022</t>
        </is>
      </c>
      <c r="B23" t="inlineStr">
        <is>
          <t>2023-03</t>
        </is>
      </c>
      <c r="C23" t="inlineStr">
        <is>
          <t>Shafts</t>
        </is>
      </c>
      <c r="D23" t="inlineStr">
        <is>
          <t>North</t>
        </is>
      </c>
      <c r="E23" s="2" t="n">
        <v>480</v>
      </c>
      <c r="F23" s="2" t="n">
        <v>46</v>
      </c>
      <c r="G23" s="2" t="n">
        <v>434</v>
      </c>
      <c r="H23" s="2" t="n">
        <v>31</v>
      </c>
      <c r="I23" s="2" t="n">
        <v>977</v>
      </c>
      <c r="J23" s="2" t="n">
        <v>949</v>
      </c>
      <c r="K23" s="3" t="n">
        <v>0.9041666666666667</v>
      </c>
      <c r="L23" s="3" t="n">
        <v>0.8845238095238095</v>
      </c>
      <c r="M23" s="3" t="n">
        <v>0.9713408393039918</v>
      </c>
      <c r="N23" s="3" t="n">
        <v>0.7768365816558627</v>
      </c>
    </row>
    <row r="24">
      <c r="A24" t="inlineStr">
        <is>
          <t>OEE023</t>
        </is>
      </c>
      <c r="B24" t="inlineStr">
        <is>
          <t>2023-03</t>
        </is>
      </c>
      <c r="C24" t="inlineStr">
        <is>
          <t>Shafts</t>
        </is>
      </c>
      <c r="D24" t="inlineStr">
        <is>
          <t>South</t>
        </is>
      </c>
      <c r="E24" s="2" t="n">
        <v>480</v>
      </c>
      <c r="F24" s="2" t="n">
        <v>46</v>
      </c>
      <c r="G24" s="2" t="n">
        <v>434</v>
      </c>
      <c r="H24" s="2" t="n">
        <v>31</v>
      </c>
      <c r="I24" s="2" t="n">
        <v>887</v>
      </c>
      <c r="J24" s="2" t="n">
        <v>861</v>
      </c>
      <c r="K24" s="3" t="n">
        <v>0.9041666666666667</v>
      </c>
      <c r="L24" s="3" t="n">
        <v>0.8845238095238095</v>
      </c>
      <c r="M24" s="3" t="n">
        <v>0.9706877113866967</v>
      </c>
      <c r="N24" s="3" t="n">
        <v>0.7763142380683954</v>
      </c>
    </row>
    <row r="25">
      <c r="A25" t="inlineStr">
        <is>
          <t>OEE024</t>
        </is>
      </c>
      <c r="B25" t="inlineStr">
        <is>
          <t>2023-03</t>
        </is>
      </c>
      <c r="C25" t="inlineStr">
        <is>
          <t>Shafts</t>
        </is>
      </c>
      <c r="D25" t="inlineStr">
        <is>
          <t>West</t>
        </is>
      </c>
      <c r="E25" s="2" t="n">
        <v>480</v>
      </c>
      <c r="F25" s="2" t="n">
        <v>46</v>
      </c>
      <c r="G25" s="2" t="n">
        <v>434</v>
      </c>
      <c r="H25" s="2" t="n">
        <v>31</v>
      </c>
      <c r="I25" s="2" t="n">
        <v>851</v>
      </c>
      <c r="J25" s="2" t="n">
        <v>826</v>
      </c>
      <c r="K25" s="3" t="n">
        <v>0.9041666666666667</v>
      </c>
      <c r="L25" s="3" t="n">
        <v>0.8845238095238095</v>
      </c>
      <c r="M25" s="3" t="n">
        <v>0.9706227967097533</v>
      </c>
      <c r="N25" s="3" t="n">
        <v>0.7762623221047135</v>
      </c>
    </row>
    <row r="26">
      <c r="A26" t="inlineStr">
        <is>
          <t>OEE025</t>
        </is>
      </c>
      <c r="B26" t="inlineStr">
        <is>
          <t>2023-03</t>
        </is>
      </c>
      <c r="C26" t="inlineStr">
        <is>
          <t>Bearings</t>
        </is>
      </c>
      <c r="D26" t="inlineStr">
        <is>
          <t>North</t>
        </is>
      </c>
      <c r="E26" s="2" t="n">
        <v>480</v>
      </c>
      <c r="F26" s="2" t="n">
        <v>55</v>
      </c>
      <c r="G26" s="2" t="n">
        <v>425</v>
      </c>
      <c r="H26" s="2" t="n">
        <v>34</v>
      </c>
      <c r="I26" s="2" t="n">
        <v>932</v>
      </c>
      <c r="J26" s="2" t="n">
        <v>901</v>
      </c>
      <c r="K26" s="3" t="n">
        <v>0.8854166666666666</v>
      </c>
      <c r="L26" s="3" t="n">
        <v>0.8746666666666667</v>
      </c>
      <c r="M26" s="3" t="n">
        <v>0.9667381974248928</v>
      </c>
      <c r="N26" s="3" t="n">
        <v>0.7486850262279447</v>
      </c>
    </row>
    <row r="27">
      <c r="A27" t="inlineStr">
        <is>
          <t>OEE026</t>
        </is>
      </c>
      <c r="B27" t="inlineStr">
        <is>
          <t>2023-03</t>
        </is>
      </c>
      <c r="C27" t="inlineStr">
        <is>
          <t>Bearings</t>
        </is>
      </c>
      <c r="D27" t="inlineStr">
        <is>
          <t>South</t>
        </is>
      </c>
      <c r="E27" s="2" t="n">
        <v>480</v>
      </c>
      <c r="F27" s="2" t="n">
        <v>55</v>
      </c>
      <c r="G27" s="2" t="n">
        <v>425</v>
      </c>
      <c r="H27" s="2" t="n">
        <v>34</v>
      </c>
      <c r="I27" s="2" t="n">
        <v>846</v>
      </c>
      <c r="J27" s="2" t="n">
        <v>818</v>
      </c>
      <c r="K27" s="3" t="n">
        <v>0.8854166666666666</v>
      </c>
      <c r="L27" s="3" t="n">
        <v>0.8746666666666667</v>
      </c>
      <c r="M27" s="3" t="n">
        <v>0.966903073286052</v>
      </c>
      <c r="N27" s="3" t="n">
        <v>0.7488127134226426</v>
      </c>
    </row>
    <row r="28">
      <c r="A28" t="inlineStr">
        <is>
          <t>OEE027</t>
        </is>
      </c>
      <c r="B28" t="inlineStr">
        <is>
          <t>2023-03</t>
        </is>
      </c>
      <c r="C28" t="inlineStr">
        <is>
          <t>Bearings</t>
        </is>
      </c>
      <c r="D28" t="inlineStr">
        <is>
          <t>West</t>
        </is>
      </c>
      <c r="E28" s="2" t="n">
        <v>480</v>
      </c>
      <c r="F28" s="2" t="n">
        <v>55</v>
      </c>
      <c r="G28" s="2" t="n">
        <v>425</v>
      </c>
      <c r="H28" s="2" t="n">
        <v>34</v>
      </c>
      <c r="I28" s="2" t="n">
        <v>811</v>
      </c>
      <c r="J28" s="2" t="n">
        <v>784</v>
      </c>
      <c r="K28" s="3" t="n">
        <v>0.8854166666666666</v>
      </c>
      <c r="L28" s="3" t="n">
        <v>0.8746666666666667</v>
      </c>
      <c r="M28" s="3" t="n">
        <v>0.966707768187423</v>
      </c>
      <c r="N28" s="3" t="n">
        <v>0.7486614604740376</v>
      </c>
    </row>
    <row r="29">
      <c r="A29" t="inlineStr">
        <is>
          <t>OEE028</t>
        </is>
      </c>
      <c r="B29" t="inlineStr">
        <is>
          <t>2023-04</t>
        </is>
      </c>
      <c r="C29" t="inlineStr">
        <is>
          <t>Gears</t>
        </is>
      </c>
      <c r="D29" t="inlineStr">
        <is>
          <t>North</t>
        </is>
      </c>
      <c r="E29" s="2" t="n">
        <v>480</v>
      </c>
      <c r="F29" s="2" t="n">
        <v>34</v>
      </c>
      <c r="G29" s="2" t="n">
        <v>446</v>
      </c>
      <c r="H29" s="2" t="n">
        <v>28</v>
      </c>
      <c r="I29" s="2" t="n">
        <v>1122</v>
      </c>
      <c r="J29" s="2" t="n">
        <v>1096</v>
      </c>
      <c r="K29" s="3" t="n">
        <v>0.9291666666666667</v>
      </c>
      <c r="L29" s="3" t="n">
        <v>0.9197309417040359</v>
      </c>
      <c r="M29" s="3" t="n">
        <v>0.9768270944741533</v>
      </c>
      <c r="N29" s="3" t="n">
        <v>0.8347801544860368</v>
      </c>
    </row>
    <row r="30">
      <c r="A30" t="inlineStr">
        <is>
          <t>OEE029</t>
        </is>
      </c>
      <c r="B30" t="inlineStr">
        <is>
          <t>2023-04</t>
        </is>
      </c>
      <c r="C30" t="inlineStr">
        <is>
          <t>Gears</t>
        </is>
      </c>
      <c r="D30" t="inlineStr">
        <is>
          <t>South</t>
        </is>
      </c>
      <c r="E30" s="2" t="n">
        <v>480</v>
      </c>
      <c r="F30" s="2" t="n">
        <v>34</v>
      </c>
      <c r="G30" s="2" t="n">
        <v>446</v>
      </c>
      <c r="H30" s="2" t="n">
        <v>28</v>
      </c>
      <c r="I30" s="2" t="n">
        <v>1018</v>
      </c>
      <c r="J30" s="2" t="n">
        <v>995</v>
      </c>
      <c r="K30" s="3" t="n">
        <v>0.9291666666666667</v>
      </c>
      <c r="L30" s="3" t="n">
        <v>0.9197309417040359</v>
      </c>
      <c r="M30" s="3" t="n">
        <v>0.9774066797642437</v>
      </c>
      <c r="N30" s="3" t="n">
        <v>0.8352754584151932</v>
      </c>
    </row>
    <row r="31">
      <c r="A31" t="inlineStr">
        <is>
          <t>OEE030</t>
        </is>
      </c>
      <c r="B31" t="inlineStr">
        <is>
          <t>2023-04</t>
        </is>
      </c>
      <c r="C31" t="inlineStr">
        <is>
          <t>Gears</t>
        </is>
      </c>
      <c r="D31" t="inlineStr">
        <is>
          <t>West</t>
        </is>
      </c>
      <c r="E31" s="2" t="n">
        <v>480</v>
      </c>
      <c r="F31" s="2" t="n">
        <v>34</v>
      </c>
      <c r="G31" s="2" t="n">
        <v>446</v>
      </c>
      <c r="H31" s="2" t="n">
        <v>28</v>
      </c>
      <c r="I31" s="2" t="n">
        <v>976</v>
      </c>
      <c r="J31" s="2" t="n">
        <v>954</v>
      </c>
      <c r="K31" s="3" t="n">
        <v>0.9291666666666667</v>
      </c>
      <c r="L31" s="3" t="n">
        <v>0.9197309417040359</v>
      </c>
      <c r="M31" s="3" t="n">
        <v>0.9774590163934426</v>
      </c>
      <c r="N31" s="3" t="n">
        <v>0.8353201844262295</v>
      </c>
    </row>
    <row r="32">
      <c r="A32" t="inlineStr">
        <is>
          <t>OEE031</t>
        </is>
      </c>
      <c r="B32" t="inlineStr">
        <is>
          <t>2023-04</t>
        </is>
      </c>
      <c r="C32" t="inlineStr">
        <is>
          <t>Shafts</t>
        </is>
      </c>
      <c r="D32" t="inlineStr">
        <is>
          <t>North</t>
        </is>
      </c>
      <c r="E32" s="2" t="n">
        <v>480</v>
      </c>
      <c r="F32" s="2" t="n">
        <v>43</v>
      </c>
      <c r="G32" s="2" t="n">
        <v>437</v>
      </c>
      <c r="H32" s="2" t="n">
        <v>31</v>
      </c>
      <c r="I32" s="2" t="n">
        <v>996</v>
      </c>
      <c r="J32" s="2" t="n">
        <v>970</v>
      </c>
      <c r="K32" s="3" t="n">
        <v>0.9104166666666667</v>
      </c>
      <c r="L32" s="3" t="n">
        <v>0.8997330282227308</v>
      </c>
      <c r="M32" s="3" t="n">
        <v>0.9738955823293173</v>
      </c>
      <c r="N32" s="3" t="n">
        <v>0.7977489820392683</v>
      </c>
    </row>
    <row r="33">
      <c r="A33" t="inlineStr">
        <is>
          <t>OEE032</t>
        </is>
      </c>
      <c r="B33" t="inlineStr">
        <is>
          <t>2023-04</t>
        </is>
      </c>
      <c r="C33" t="inlineStr">
        <is>
          <t>Shafts</t>
        </is>
      </c>
      <c r="D33" t="inlineStr">
        <is>
          <t>South</t>
        </is>
      </c>
      <c r="E33" s="2" t="n">
        <v>480</v>
      </c>
      <c r="F33" s="2" t="n">
        <v>43</v>
      </c>
      <c r="G33" s="2" t="n">
        <v>437</v>
      </c>
      <c r="H33" s="2" t="n">
        <v>31</v>
      </c>
      <c r="I33" s="2" t="n">
        <v>904</v>
      </c>
      <c r="J33" s="2" t="n">
        <v>880</v>
      </c>
      <c r="K33" s="3" t="n">
        <v>0.9104166666666667</v>
      </c>
      <c r="L33" s="3" t="n">
        <v>0.8997330282227308</v>
      </c>
      <c r="M33" s="3" t="n">
        <v>0.9734513274336283</v>
      </c>
      <c r="N33" s="3" t="n">
        <v>0.7973850786627336</v>
      </c>
    </row>
    <row r="34">
      <c r="A34" t="inlineStr">
        <is>
          <t>OEE033</t>
        </is>
      </c>
      <c r="B34" t="inlineStr">
        <is>
          <t>2023-04</t>
        </is>
      </c>
      <c r="C34" t="inlineStr">
        <is>
          <t>Shafts</t>
        </is>
      </c>
      <c r="D34" t="inlineStr">
        <is>
          <t>West</t>
        </is>
      </c>
      <c r="E34" s="2" t="n">
        <v>480</v>
      </c>
      <c r="F34" s="2" t="n">
        <v>43</v>
      </c>
      <c r="G34" s="2" t="n">
        <v>437</v>
      </c>
      <c r="H34" s="2" t="n">
        <v>31</v>
      </c>
      <c r="I34" s="2" t="n">
        <v>867</v>
      </c>
      <c r="J34" s="2" t="n">
        <v>844</v>
      </c>
      <c r="K34" s="3" t="n">
        <v>0.9104166666666667</v>
      </c>
      <c r="L34" s="3" t="n">
        <v>0.8997330282227308</v>
      </c>
      <c r="M34" s="3" t="n">
        <v>0.9734717416378316</v>
      </c>
      <c r="N34" s="3" t="n">
        <v>0.7974018005895168</v>
      </c>
    </row>
    <row r="35">
      <c r="A35" t="inlineStr">
        <is>
          <t>OEE034</t>
        </is>
      </c>
      <c r="B35" t="inlineStr">
        <is>
          <t>2023-04</t>
        </is>
      </c>
      <c r="C35" t="inlineStr">
        <is>
          <t>Bearings</t>
        </is>
      </c>
      <c r="D35" t="inlineStr">
        <is>
          <t>North</t>
        </is>
      </c>
      <c r="E35" s="2" t="n">
        <v>480</v>
      </c>
      <c r="F35" s="2" t="n">
        <v>53</v>
      </c>
      <c r="G35" s="2" t="n">
        <v>427</v>
      </c>
      <c r="H35" s="2" t="n">
        <v>34</v>
      </c>
      <c r="I35" s="2" t="n">
        <v>950</v>
      </c>
      <c r="J35" s="2" t="n">
        <v>922</v>
      </c>
      <c r="K35" s="3" t="n">
        <v>0.8895833333333333</v>
      </c>
      <c r="L35" s="3" t="n">
        <v>0.8904761904761905</v>
      </c>
      <c r="M35" s="3" t="n">
        <v>0.9705263157894737</v>
      </c>
      <c r="N35" s="3" t="n">
        <v>0.7688051169590644</v>
      </c>
    </row>
    <row r="36">
      <c r="A36" t="inlineStr">
        <is>
          <t>OEE035</t>
        </is>
      </c>
      <c r="B36" t="inlineStr">
        <is>
          <t>2023-04</t>
        </is>
      </c>
      <c r="C36" t="inlineStr">
        <is>
          <t>Bearings</t>
        </is>
      </c>
      <c r="D36" t="inlineStr">
        <is>
          <t>South</t>
        </is>
      </c>
      <c r="E36" s="2" t="n">
        <v>480</v>
      </c>
      <c r="F36" s="2" t="n">
        <v>53</v>
      </c>
      <c r="G36" s="2" t="n">
        <v>427</v>
      </c>
      <c r="H36" s="2" t="n">
        <v>34</v>
      </c>
      <c r="I36" s="2" t="n">
        <v>862</v>
      </c>
      <c r="J36" s="2" t="n">
        <v>836</v>
      </c>
      <c r="K36" s="3" t="n">
        <v>0.8895833333333333</v>
      </c>
      <c r="L36" s="3" t="n">
        <v>0.8904761904761905</v>
      </c>
      <c r="M36" s="3" t="n">
        <v>0.9698375870069605</v>
      </c>
      <c r="N36" s="3" t="n">
        <v>0.768259538540861</v>
      </c>
    </row>
    <row r="37">
      <c r="A37" t="inlineStr">
        <is>
          <t>OEE036</t>
        </is>
      </c>
      <c r="B37" t="inlineStr">
        <is>
          <t>2023-04</t>
        </is>
      </c>
      <c r="C37" t="inlineStr">
        <is>
          <t>Bearings</t>
        </is>
      </c>
      <c r="D37" t="inlineStr">
        <is>
          <t>West</t>
        </is>
      </c>
      <c r="E37" s="2" t="n">
        <v>480</v>
      </c>
      <c r="F37" s="2" t="n">
        <v>53</v>
      </c>
      <c r="G37" s="2" t="n">
        <v>427</v>
      </c>
      <c r="H37" s="2" t="n">
        <v>34</v>
      </c>
      <c r="I37" s="2" t="n">
        <v>827</v>
      </c>
      <c r="J37" s="2" t="n">
        <v>802</v>
      </c>
      <c r="K37" s="3" t="n">
        <v>0.8895833333333333</v>
      </c>
      <c r="L37" s="3" t="n">
        <v>0.8904761904761905</v>
      </c>
      <c r="M37" s="3" t="n">
        <v>0.969770253929867</v>
      </c>
      <c r="N37" s="3" t="n">
        <v>0.7682062004568051</v>
      </c>
    </row>
    <row r="38">
      <c r="A38" t="inlineStr">
        <is>
          <t>OEE037</t>
        </is>
      </c>
      <c r="B38" t="inlineStr">
        <is>
          <t>2023-05</t>
        </is>
      </c>
      <c r="C38" t="inlineStr">
        <is>
          <t>Gears</t>
        </is>
      </c>
      <c r="D38" t="inlineStr">
        <is>
          <t>North</t>
        </is>
      </c>
      <c r="E38" s="2" t="n">
        <v>480</v>
      </c>
      <c r="F38" s="2" t="n">
        <v>29</v>
      </c>
      <c r="G38" s="2" t="n">
        <v>451</v>
      </c>
      <c r="H38" s="2" t="n">
        <v>28</v>
      </c>
      <c r="I38" s="2" t="n">
        <v>1143</v>
      </c>
      <c r="J38" s="2" t="n">
        <v>1114</v>
      </c>
      <c r="K38" s="3" t="n">
        <v>0.9395833333333333</v>
      </c>
      <c r="L38" s="3" t="n">
        <v>0.9095343680709534</v>
      </c>
      <c r="M38" s="3" t="n">
        <v>0.9746281714785652</v>
      </c>
      <c r="N38" s="3" t="n">
        <v>0.8329009915427239</v>
      </c>
    </row>
    <row r="39">
      <c r="A39" t="inlineStr">
        <is>
          <t>OEE038</t>
        </is>
      </c>
      <c r="B39" t="inlineStr">
        <is>
          <t>2023-05</t>
        </is>
      </c>
      <c r="C39" t="inlineStr">
        <is>
          <t>Gears</t>
        </is>
      </c>
      <c r="D39" t="inlineStr">
        <is>
          <t>South</t>
        </is>
      </c>
      <c r="E39" s="2" t="n">
        <v>480</v>
      </c>
      <c r="F39" s="2" t="n">
        <v>29</v>
      </c>
      <c r="G39" s="2" t="n">
        <v>451</v>
      </c>
      <c r="H39" s="2" t="n">
        <v>28</v>
      </c>
      <c r="I39" s="2" t="n">
        <v>1037</v>
      </c>
      <c r="J39" s="2" t="n">
        <v>1011</v>
      </c>
      <c r="K39" s="3" t="n">
        <v>0.9395833333333333</v>
      </c>
      <c r="L39" s="3" t="n">
        <v>0.9095343680709534</v>
      </c>
      <c r="M39" s="3" t="n">
        <v>0.9749276759884281</v>
      </c>
      <c r="N39" s="3" t="n">
        <v>0.8331569431051109</v>
      </c>
    </row>
    <row r="40">
      <c r="A40" t="inlineStr">
        <is>
          <t>OEE039</t>
        </is>
      </c>
      <c r="B40" t="inlineStr">
        <is>
          <t>2023-05</t>
        </is>
      </c>
      <c r="C40" t="inlineStr">
        <is>
          <t>Gears</t>
        </is>
      </c>
      <c r="D40" t="inlineStr">
        <is>
          <t>West</t>
        </is>
      </c>
      <c r="E40" s="2" t="n">
        <v>480</v>
      </c>
      <c r="F40" s="2" t="n">
        <v>29</v>
      </c>
      <c r="G40" s="2" t="n">
        <v>451</v>
      </c>
      <c r="H40" s="2" t="n">
        <v>28</v>
      </c>
      <c r="I40" s="2" t="n">
        <v>995</v>
      </c>
      <c r="J40" s="2" t="n">
        <v>970</v>
      </c>
      <c r="K40" s="3" t="n">
        <v>0.9395833333333333</v>
      </c>
      <c r="L40" s="3" t="n">
        <v>0.9095343680709534</v>
      </c>
      <c r="M40" s="3" t="n">
        <v>0.9748743718592965</v>
      </c>
      <c r="N40" s="3" t="n">
        <v>0.8331113902847571</v>
      </c>
    </row>
    <row r="41">
      <c r="A41" t="inlineStr">
        <is>
          <t>OEE040</t>
        </is>
      </c>
      <c r="B41" t="inlineStr">
        <is>
          <t>2023-05</t>
        </is>
      </c>
      <c r="C41" t="inlineStr">
        <is>
          <t>Shafts</t>
        </is>
      </c>
      <c r="D41" t="inlineStr">
        <is>
          <t>North</t>
        </is>
      </c>
      <c r="E41" s="2" t="n">
        <v>480</v>
      </c>
      <c r="F41" s="2" t="n">
        <v>38</v>
      </c>
      <c r="G41" s="2" t="n">
        <v>442</v>
      </c>
      <c r="H41" s="2" t="n">
        <v>31</v>
      </c>
      <c r="I41" s="2" t="n">
        <v>1015</v>
      </c>
      <c r="J41" s="2" t="n">
        <v>987</v>
      </c>
      <c r="K41" s="3" t="n">
        <v>0.9208333333333333</v>
      </c>
      <c r="L41" s="3" t="n">
        <v>0.8895550527903469</v>
      </c>
      <c r="M41" s="3" t="n">
        <v>0.9724137931034482</v>
      </c>
      <c r="N41" s="3" t="n">
        <v>0.7965352011494252</v>
      </c>
    </row>
    <row r="42">
      <c r="A42" t="inlineStr">
        <is>
          <t>OEE041</t>
        </is>
      </c>
      <c r="B42" t="inlineStr">
        <is>
          <t>2023-05</t>
        </is>
      </c>
      <c r="C42" t="inlineStr">
        <is>
          <t>Shafts</t>
        </is>
      </c>
      <c r="D42" t="inlineStr">
        <is>
          <t>South</t>
        </is>
      </c>
      <c r="E42" s="2" t="n">
        <v>480</v>
      </c>
      <c r="F42" s="2" t="n">
        <v>38</v>
      </c>
      <c r="G42" s="2" t="n">
        <v>442</v>
      </c>
      <c r="H42" s="2" t="n">
        <v>31</v>
      </c>
      <c r="I42" s="2" t="n">
        <v>921</v>
      </c>
      <c r="J42" s="2" t="n">
        <v>895</v>
      </c>
      <c r="K42" s="3" t="n">
        <v>0.9208333333333333</v>
      </c>
      <c r="L42" s="3" t="n">
        <v>0.8895550527903469</v>
      </c>
      <c r="M42" s="3" t="n">
        <v>0.9717698154180239</v>
      </c>
      <c r="N42" s="3" t="n">
        <v>0.7960076984557847</v>
      </c>
    </row>
    <row r="43">
      <c r="A43" t="inlineStr">
        <is>
          <t>OEE042</t>
        </is>
      </c>
      <c r="B43" t="inlineStr">
        <is>
          <t>2023-05</t>
        </is>
      </c>
      <c r="C43" t="inlineStr">
        <is>
          <t>Shafts</t>
        </is>
      </c>
      <c r="D43" t="inlineStr">
        <is>
          <t>West</t>
        </is>
      </c>
      <c r="E43" s="2" t="n">
        <v>480</v>
      </c>
      <c r="F43" s="2" t="n">
        <v>38</v>
      </c>
      <c r="G43" s="2" t="n">
        <v>442</v>
      </c>
      <c r="H43" s="2" t="n">
        <v>31</v>
      </c>
      <c r="I43" s="2" t="n">
        <v>883</v>
      </c>
      <c r="J43" s="2" t="n">
        <v>858</v>
      </c>
      <c r="K43" s="3" t="n">
        <v>0.9208333333333333</v>
      </c>
      <c r="L43" s="3" t="n">
        <v>0.8895550527903469</v>
      </c>
      <c r="M43" s="3" t="n">
        <v>0.9716874292185731</v>
      </c>
      <c r="N43" s="3" t="n">
        <v>0.7959402132880332</v>
      </c>
    </row>
    <row r="44">
      <c r="A44" t="inlineStr">
        <is>
          <t>OEE043</t>
        </is>
      </c>
      <c r="B44" t="inlineStr">
        <is>
          <t>2023-05</t>
        </is>
      </c>
      <c r="C44" t="inlineStr">
        <is>
          <t>Bearings</t>
        </is>
      </c>
      <c r="D44" t="inlineStr">
        <is>
          <t>North</t>
        </is>
      </c>
      <c r="E44" s="2" t="n">
        <v>480</v>
      </c>
      <c r="F44" s="2" t="n">
        <v>48</v>
      </c>
      <c r="G44" s="2" t="n">
        <v>432</v>
      </c>
      <c r="H44" s="2" t="n">
        <v>34</v>
      </c>
      <c r="I44" s="2" t="n">
        <v>968</v>
      </c>
      <c r="J44" s="2" t="n">
        <v>937</v>
      </c>
      <c r="K44" s="3" t="n">
        <v>0.9</v>
      </c>
      <c r="L44" s="3" t="n">
        <v>0.8801697530864198</v>
      </c>
      <c r="M44" s="3" t="n">
        <v>0.9679752066115702</v>
      </c>
      <c r="N44" s="3" t="n">
        <v>0.7667842487373737</v>
      </c>
    </row>
    <row r="45">
      <c r="A45" t="inlineStr">
        <is>
          <t>OEE044</t>
        </is>
      </c>
      <c r="B45" t="inlineStr">
        <is>
          <t>2023-05</t>
        </is>
      </c>
      <c r="C45" t="inlineStr">
        <is>
          <t>Bearings</t>
        </is>
      </c>
      <c r="D45" t="inlineStr">
        <is>
          <t>South</t>
        </is>
      </c>
      <c r="E45" s="2" t="n">
        <v>480</v>
      </c>
      <c r="F45" s="2" t="n">
        <v>48</v>
      </c>
      <c r="G45" s="2" t="n">
        <v>432</v>
      </c>
      <c r="H45" s="2" t="n">
        <v>34</v>
      </c>
      <c r="I45" s="2" t="n">
        <v>878</v>
      </c>
      <c r="J45" s="2" t="n">
        <v>850</v>
      </c>
      <c r="K45" s="3" t="n">
        <v>0.9</v>
      </c>
      <c r="L45" s="3" t="n">
        <v>0.8801697530864198</v>
      </c>
      <c r="M45" s="3" t="n">
        <v>0.9681093394077449</v>
      </c>
      <c r="N45" s="3" t="n">
        <v>0.7668905024044547</v>
      </c>
    </row>
    <row r="46">
      <c r="A46" t="inlineStr">
        <is>
          <t>OEE045</t>
        </is>
      </c>
      <c r="B46" t="inlineStr">
        <is>
          <t>2023-05</t>
        </is>
      </c>
      <c r="C46" t="inlineStr">
        <is>
          <t>Bearings</t>
        </is>
      </c>
      <c r="D46" t="inlineStr">
        <is>
          <t>West</t>
        </is>
      </c>
      <c r="E46" s="2" t="n">
        <v>480</v>
      </c>
      <c r="F46" s="2" t="n">
        <v>48</v>
      </c>
      <c r="G46" s="2" t="n">
        <v>432</v>
      </c>
      <c r="H46" s="2" t="n">
        <v>34</v>
      </c>
      <c r="I46" s="2" t="n">
        <v>843</v>
      </c>
      <c r="J46" s="2" t="n">
        <v>816</v>
      </c>
      <c r="K46" s="3" t="n">
        <v>0.9</v>
      </c>
      <c r="L46" s="3" t="n">
        <v>0.8801697530864198</v>
      </c>
      <c r="M46" s="3" t="n">
        <v>0.9679715302491103</v>
      </c>
      <c r="N46" s="3" t="n">
        <v>0.766781336496639</v>
      </c>
    </row>
    <row r="47">
      <c r="A47" t="inlineStr">
        <is>
          <t>OEE046</t>
        </is>
      </c>
      <c r="B47" t="inlineStr">
        <is>
          <t>2023-06</t>
        </is>
      </c>
      <c r="C47" t="inlineStr">
        <is>
          <t>Gears</t>
        </is>
      </c>
      <c r="D47" t="inlineStr">
        <is>
          <t>North</t>
        </is>
      </c>
      <c r="E47" s="2" t="n">
        <v>480</v>
      </c>
      <c r="F47" s="2" t="n">
        <v>36</v>
      </c>
      <c r="G47" s="2" t="n">
        <v>444</v>
      </c>
      <c r="H47" s="2" t="n">
        <v>28</v>
      </c>
      <c r="I47" s="2" t="n">
        <v>1164</v>
      </c>
      <c r="J47" s="2" t="n">
        <v>1134</v>
      </c>
      <c r="K47" s="3" t="n">
        <v>0.925</v>
      </c>
      <c r="L47" s="3" t="n">
        <v>0.9049549549549549</v>
      </c>
      <c r="M47" s="3" t="n">
        <v>0.9742268041237113</v>
      </c>
      <c r="N47" s="3" t="n">
        <v>0.8155090206185568</v>
      </c>
    </row>
    <row r="48">
      <c r="A48" t="inlineStr">
        <is>
          <t>OEE047</t>
        </is>
      </c>
      <c r="B48" t="inlineStr">
        <is>
          <t>2023-06</t>
        </is>
      </c>
      <c r="C48" t="inlineStr">
        <is>
          <t>Gears</t>
        </is>
      </c>
      <c r="D48" t="inlineStr">
        <is>
          <t>South</t>
        </is>
      </c>
      <c r="E48" s="2" t="n">
        <v>480</v>
      </c>
      <c r="F48" s="2" t="n">
        <v>36</v>
      </c>
      <c r="G48" s="2" t="n">
        <v>444</v>
      </c>
      <c r="H48" s="2" t="n">
        <v>28</v>
      </c>
      <c r="I48" s="2" t="n">
        <v>1056</v>
      </c>
      <c r="J48" s="2" t="n">
        <v>1029</v>
      </c>
      <c r="K48" s="3" t="n">
        <v>0.925</v>
      </c>
      <c r="L48" s="3" t="n">
        <v>0.9049549549549549</v>
      </c>
      <c r="M48" s="3" t="n">
        <v>0.9744318181818182</v>
      </c>
      <c r="N48" s="3" t="n">
        <v>0.8156806344696971</v>
      </c>
    </row>
    <row r="49">
      <c r="A49" t="inlineStr">
        <is>
          <t>OEE048</t>
        </is>
      </c>
      <c r="B49" t="inlineStr">
        <is>
          <t>2023-06</t>
        </is>
      </c>
      <c r="C49" t="inlineStr">
        <is>
          <t>Gears</t>
        </is>
      </c>
      <c r="D49" t="inlineStr">
        <is>
          <t>West</t>
        </is>
      </c>
      <c r="E49" s="2" t="n">
        <v>480</v>
      </c>
      <c r="F49" s="2" t="n">
        <v>36</v>
      </c>
      <c r="G49" s="2" t="n">
        <v>444</v>
      </c>
      <c r="H49" s="2" t="n">
        <v>28</v>
      </c>
      <c r="I49" s="2" t="n">
        <v>1013</v>
      </c>
      <c r="J49" s="2" t="n">
        <v>987</v>
      </c>
      <c r="K49" s="3" t="n">
        <v>0.925</v>
      </c>
      <c r="L49" s="3" t="n">
        <v>0.9049549549549549</v>
      </c>
      <c r="M49" s="3" t="n">
        <v>0.9743336623889437</v>
      </c>
      <c r="N49" s="3" t="n">
        <v>0.8155984698914117</v>
      </c>
    </row>
    <row r="50">
      <c r="A50" t="inlineStr">
        <is>
          <t>OEE049</t>
        </is>
      </c>
      <c r="B50" t="inlineStr">
        <is>
          <t>2023-06</t>
        </is>
      </c>
      <c r="C50" t="inlineStr">
        <is>
          <t>Shafts</t>
        </is>
      </c>
      <c r="D50" t="inlineStr">
        <is>
          <t>North</t>
        </is>
      </c>
      <c r="E50" s="2" t="n">
        <v>480</v>
      </c>
      <c r="F50" s="2" t="n">
        <v>46</v>
      </c>
      <c r="G50" s="2" t="n">
        <v>434</v>
      </c>
      <c r="H50" s="2" t="n">
        <v>31</v>
      </c>
      <c r="I50" s="2" t="n">
        <v>1034</v>
      </c>
      <c r="J50" s="2" t="n">
        <v>1004</v>
      </c>
      <c r="K50" s="3" t="n">
        <v>0.9041666666666667</v>
      </c>
      <c r="L50" s="3" t="n">
        <v>0.8845238095238095</v>
      </c>
      <c r="M50" s="3" t="n">
        <v>0.9709864603481625</v>
      </c>
      <c r="N50" s="3" t="n">
        <v>0.7765531646249731</v>
      </c>
    </row>
    <row r="51">
      <c r="A51" t="inlineStr">
        <is>
          <t>OEE050</t>
        </is>
      </c>
      <c r="B51" t="inlineStr">
        <is>
          <t>2023-06</t>
        </is>
      </c>
      <c r="C51" t="inlineStr">
        <is>
          <t>Shafts</t>
        </is>
      </c>
      <c r="D51" t="inlineStr">
        <is>
          <t>South</t>
        </is>
      </c>
      <c r="E51" s="2" t="n">
        <v>480</v>
      </c>
      <c r="F51" s="2" t="n">
        <v>46</v>
      </c>
      <c r="G51" s="2" t="n">
        <v>434</v>
      </c>
      <c r="H51" s="2" t="n">
        <v>31</v>
      </c>
      <c r="I51" s="2" t="n">
        <v>938</v>
      </c>
      <c r="J51" s="2" t="n">
        <v>911</v>
      </c>
      <c r="K51" s="3" t="n">
        <v>0.9041666666666667</v>
      </c>
      <c r="L51" s="3" t="n">
        <v>0.8845238095238095</v>
      </c>
      <c r="M51" s="3" t="n">
        <v>0.9712153518123667</v>
      </c>
      <c r="N51" s="3" t="n">
        <v>0.7767362221629945</v>
      </c>
    </row>
    <row r="52">
      <c r="A52" t="inlineStr">
        <is>
          <t>OEE051</t>
        </is>
      </c>
      <c r="B52" t="inlineStr">
        <is>
          <t>2023-06</t>
        </is>
      </c>
      <c r="C52" t="inlineStr">
        <is>
          <t>Shafts</t>
        </is>
      </c>
      <c r="D52" t="inlineStr">
        <is>
          <t>West</t>
        </is>
      </c>
      <c r="E52" s="2" t="n">
        <v>480</v>
      </c>
      <c r="F52" s="2" t="n">
        <v>46</v>
      </c>
      <c r="G52" s="2" t="n">
        <v>434</v>
      </c>
      <c r="H52" s="2" t="n">
        <v>31</v>
      </c>
      <c r="I52" s="2" t="n">
        <v>900</v>
      </c>
      <c r="J52" s="2" t="n">
        <v>874</v>
      </c>
      <c r="K52" s="3" t="n">
        <v>0.9041666666666667</v>
      </c>
      <c r="L52" s="3" t="n">
        <v>0.8845238095238095</v>
      </c>
      <c r="M52" s="3" t="n">
        <v>0.9711111111111111</v>
      </c>
      <c r="N52" s="3" t="n">
        <v>0.7766528549382716</v>
      </c>
    </row>
    <row r="53">
      <c r="A53" t="inlineStr">
        <is>
          <t>OEE052</t>
        </is>
      </c>
      <c r="B53" t="inlineStr">
        <is>
          <t>2023-06</t>
        </is>
      </c>
      <c r="C53" t="inlineStr">
        <is>
          <t>Bearings</t>
        </is>
      </c>
      <c r="D53" t="inlineStr">
        <is>
          <t>North</t>
        </is>
      </c>
      <c r="E53" s="2" t="n">
        <v>480</v>
      </c>
      <c r="F53" s="2" t="n">
        <v>55</v>
      </c>
      <c r="G53" s="2" t="n">
        <v>425</v>
      </c>
      <c r="H53" s="2" t="n">
        <v>34</v>
      </c>
      <c r="I53" s="2" t="n">
        <v>986</v>
      </c>
      <c r="J53" s="2" t="n">
        <v>953</v>
      </c>
      <c r="K53" s="3" t="n">
        <v>0.8854166666666666</v>
      </c>
      <c r="L53" s="3" t="n">
        <v>0.8746666666666667</v>
      </c>
      <c r="M53" s="3" t="n">
        <v>0.9665314401622718</v>
      </c>
      <c r="N53" s="3" t="n">
        <v>0.7485249042145594</v>
      </c>
    </row>
    <row r="54">
      <c r="A54" t="inlineStr">
        <is>
          <t>OEE053</t>
        </is>
      </c>
      <c r="B54" t="inlineStr">
        <is>
          <t>2023-06</t>
        </is>
      </c>
      <c r="C54" t="inlineStr">
        <is>
          <t>Bearings</t>
        </is>
      </c>
      <c r="D54" t="inlineStr">
        <is>
          <t>South</t>
        </is>
      </c>
      <c r="E54" s="2" t="n">
        <v>480</v>
      </c>
      <c r="F54" s="2" t="n">
        <v>55</v>
      </c>
      <c r="G54" s="2" t="n">
        <v>425</v>
      </c>
      <c r="H54" s="2" t="n">
        <v>34</v>
      </c>
      <c r="I54" s="2" t="n">
        <v>895</v>
      </c>
      <c r="J54" s="2" t="n">
        <v>865</v>
      </c>
      <c r="K54" s="3" t="n">
        <v>0.8854166666666666</v>
      </c>
      <c r="L54" s="3" t="n">
        <v>0.8746666666666667</v>
      </c>
      <c r="M54" s="3" t="n">
        <v>0.9664804469273743</v>
      </c>
      <c r="N54" s="3" t="n">
        <v>0.7484854127870888</v>
      </c>
    </row>
    <row r="55">
      <c r="A55" t="inlineStr">
        <is>
          <t>OEE054</t>
        </is>
      </c>
      <c r="B55" t="inlineStr">
        <is>
          <t>2023-06</t>
        </is>
      </c>
      <c r="C55" t="inlineStr">
        <is>
          <t>Bearings</t>
        </is>
      </c>
      <c r="D55" t="inlineStr">
        <is>
          <t>West</t>
        </is>
      </c>
      <c r="E55" s="2" t="n">
        <v>480</v>
      </c>
      <c r="F55" s="2" t="n">
        <v>55</v>
      </c>
      <c r="G55" s="2" t="n">
        <v>425</v>
      </c>
      <c r="H55" s="2" t="n">
        <v>34</v>
      </c>
      <c r="I55" s="2" t="n">
        <v>858</v>
      </c>
      <c r="J55" s="2" t="n">
        <v>830</v>
      </c>
      <c r="K55" s="3" t="n">
        <v>0.8854166666666666</v>
      </c>
      <c r="L55" s="3" t="n">
        <v>0.8746666666666667</v>
      </c>
      <c r="M55" s="3" t="n">
        <v>0.9673659673659674</v>
      </c>
      <c r="N55" s="3" t="n">
        <v>0.7491711991711992</v>
      </c>
    </row>
  </sheetData>
  <autoFilter ref="A1:N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3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Product</t>
        </is>
      </c>
      <c r="B1" s="1" t="inlineStr">
        <is>
          <t>Planned_Time_Min</t>
        </is>
      </c>
      <c r="C1" s="1" t="inlineStr">
        <is>
          <t>Downtime_Min</t>
        </is>
      </c>
      <c r="D1" s="1" t="inlineStr">
        <is>
          <t>Run_Time_Min</t>
        </is>
      </c>
      <c r="E1" s="1" t="inlineStr">
        <is>
          <t>Total_Count</t>
        </is>
      </c>
      <c r="F1" s="1" t="inlineStr">
        <is>
          <t>Good_Count</t>
        </is>
      </c>
      <c r="G1" s="1" t="inlineStr">
        <is>
          <t>Availability</t>
        </is>
      </c>
      <c r="H1" s="1" t="inlineStr">
        <is>
          <t>Quality</t>
        </is>
      </c>
      <c r="I1" s="1" t="inlineStr">
        <is>
          <t>Performance</t>
        </is>
      </c>
      <c r="J1" s="1" t="inlineStr">
        <is>
          <t>OEE</t>
        </is>
      </c>
    </row>
    <row r="2">
      <c r="A2" t="inlineStr">
        <is>
          <t>Bearings</t>
        </is>
      </c>
      <c r="B2" s="2" t="n">
        <v>8640</v>
      </c>
      <c r="C2" s="2" t="n">
        <v>936</v>
      </c>
      <c r="D2" s="2" t="n">
        <v>7704</v>
      </c>
      <c r="E2" s="2" t="n">
        <v>15685</v>
      </c>
      <c r="F2" s="2" t="n">
        <v>15188</v>
      </c>
      <c r="G2" s="3" t="n">
        <v>0.8916666666666667</v>
      </c>
      <c r="H2" s="3" t="n">
        <v>0.9683136754861332</v>
      </c>
      <c r="I2" s="3" t="n">
        <v>1.153708030460367</v>
      </c>
      <c r="J2" s="3" t="n">
        <v>0.9961265432098765</v>
      </c>
    </row>
    <row r="3">
      <c r="A3" t="inlineStr">
        <is>
          <t>Gears</t>
        </is>
      </c>
      <c r="B3" s="2" t="n">
        <v>8640</v>
      </c>
      <c r="C3" s="2" t="n">
        <v>594</v>
      </c>
      <c r="D3" s="2" t="n">
        <v>8046</v>
      </c>
      <c r="E3" s="2" t="n">
        <v>18521</v>
      </c>
      <c r="F3" s="2" t="n">
        <v>18065</v>
      </c>
      <c r="G3" s="3" t="n">
        <v>0.93125</v>
      </c>
      <c r="H3" s="3" t="n">
        <v>0.9753792991739106</v>
      </c>
      <c r="I3" s="3" t="n">
        <v>1.074214930814483</v>
      </c>
      <c r="J3" s="3" t="n">
        <v>0.9757330246913581</v>
      </c>
    </row>
    <row r="4">
      <c r="A4" t="inlineStr">
        <is>
          <t>Shafts</t>
        </is>
      </c>
      <c r="B4" s="2" t="n">
        <v>8640</v>
      </c>
      <c r="C4" s="2" t="n">
        <v>762</v>
      </c>
      <c r="D4" s="2" t="n">
        <v>7878</v>
      </c>
      <c r="E4" s="2" t="n">
        <v>16446</v>
      </c>
      <c r="F4" s="2" t="n">
        <v>15991</v>
      </c>
      <c r="G4" s="3" t="n">
        <v>0.9118055555555555</v>
      </c>
      <c r="H4" s="3" t="n">
        <v>0.9723336981636872</v>
      </c>
      <c r="I4" s="3" t="n">
        <v>1.078585935516629</v>
      </c>
      <c r="J4" s="3" t="n">
        <v>0.9562519290123456</v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3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Month</t>
        </is>
      </c>
      <c r="B1" s="1" t="inlineStr">
        <is>
          <t>Planned_Time_Min</t>
        </is>
      </c>
      <c r="C1" s="1" t="inlineStr">
        <is>
          <t>Downtime_Min</t>
        </is>
      </c>
      <c r="D1" s="1" t="inlineStr">
        <is>
          <t>Run_Time_Min</t>
        </is>
      </c>
      <c r="E1" s="1" t="inlineStr">
        <is>
          <t>Total_Count</t>
        </is>
      </c>
      <c r="F1" s="1" t="inlineStr">
        <is>
          <t>Good_Count</t>
        </is>
      </c>
      <c r="G1" s="1" t="inlineStr">
        <is>
          <t>Availability</t>
        </is>
      </c>
      <c r="H1" s="1" t="inlineStr">
        <is>
          <t>Quality</t>
        </is>
      </c>
      <c r="I1" s="1" t="inlineStr">
        <is>
          <t>Performance</t>
        </is>
      </c>
      <c r="J1" s="1" t="inlineStr">
        <is>
          <t>OEE</t>
        </is>
      </c>
    </row>
    <row r="2">
      <c r="A2" t="inlineStr">
        <is>
          <t>2023-01</t>
        </is>
      </c>
      <c r="B2" s="2" t="n">
        <v>4320</v>
      </c>
      <c r="C2" s="2" t="n">
        <v>390</v>
      </c>
      <c r="D2" s="2" t="n">
        <v>3930</v>
      </c>
      <c r="E2" s="2" t="n">
        <v>8039</v>
      </c>
      <c r="F2" s="2" t="n">
        <v>7831</v>
      </c>
      <c r="G2" s="3" t="n">
        <v>0.9097222222222222</v>
      </c>
      <c r="H2" s="3" t="n">
        <v>0.9741261350914293</v>
      </c>
      <c r="I2" s="3" t="n">
        <v>1.048772630791244</v>
      </c>
      <c r="J2" s="3" t="n">
        <v>0.9294057267661612</v>
      </c>
    </row>
    <row r="3">
      <c r="A3" t="inlineStr">
        <is>
          <t>2023-02</t>
        </is>
      </c>
      <c r="B3" s="2" t="n">
        <v>4320</v>
      </c>
      <c r="C3" s="2" t="n">
        <v>345</v>
      </c>
      <c r="D3" s="2" t="n">
        <v>3975</v>
      </c>
      <c r="E3" s="2" t="n">
        <v>8202</v>
      </c>
      <c r="F3" s="2" t="n">
        <v>7972</v>
      </c>
      <c r="G3" s="3" t="n">
        <v>0.9201388888888888</v>
      </c>
      <c r="H3" s="3" t="n">
        <v>0.9719580590099975</v>
      </c>
      <c r="I3" s="3" t="n">
        <v>1.057940882302191</v>
      </c>
      <c r="J3" s="3" t="n">
        <v>0.9461550490454401</v>
      </c>
    </row>
    <row r="4">
      <c r="A4" t="inlineStr">
        <is>
          <t>2023-03</t>
        </is>
      </c>
      <c r="B4" s="2" t="n">
        <v>4320</v>
      </c>
      <c r="C4" s="2" t="n">
        <v>411</v>
      </c>
      <c r="D4" s="2" t="n">
        <v>3909</v>
      </c>
      <c r="E4" s="2" t="n">
        <v>8362</v>
      </c>
      <c r="F4" s="2" t="n">
        <v>8117</v>
      </c>
      <c r="G4" s="3" t="n">
        <v>0.9048611111111111</v>
      </c>
      <c r="H4" s="3" t="n">
        <v>0.97070078928486</v>
      </c>
      <c r="I4" s="3" t="n">
        <v>1.096758478546</v>
      </c>
      <c r="J4" s="3" t="n">
        <v>0.9633371458164178</v>
      </c>
    </row>
    <row r="5">
      <c r="A5" t="inlineStr">
        <is>
          <t>2023-04</t>
        </is>
      </c>
      <c r="B5" s="2" t="n">
        <v>4320</v>
      </c>
      <c r="C5" s="2" t="n">
        <v>390</v>
      </c>
      <c r="D5" s="2" t="n">
        <v>3930</v>
      </c>
      <c r="E5" s="2" t="n">
        <v>8522</v>
      </c>
      <c r="F5" s="2" t="n">
        <v>8299</v>
      </c>
      <c r="G5" s="3" t="n">
        <v>0.9097222222222222</v>
      </c>
      <c r="H5" s="3" t="n">
        <v>0.9738324337010091</v>
      </c>
      <c r="I5" s="3" t="n">
        <v>1.111785092623832</v>
      </c>
      <c r="J5" s="3" t="n">
        <v>0.9849493201931262</v>
      </c>
    </row>
    <row r="6">
      <c r="A6" t="inlineStr">
        <is>
          <t>2023-05</t>
        </is>
      </c>
      <c r="B6" s="2" t="n">
        <v>4320</v>
      </c>
      <c r="C6" s="2" t="n">
        <v>345</v>
      </c>
      <c r="D6" s="2" t="n">
        <v>3975</v>
      </c>
      <c r="E6" s="2" t="n">
        <v>8683</v>
      </c>
      <c r="F6" s="2" t="n">
        <v>8438</v>
      </c>
      <c r="G6" s="3" t="n">
        <v>0.9201388888888888</v>
      </c>
      <c r="H6" s="3" t="n">
        <v>0.9717839456409075</v>
      </c>
      <c r="I6" s="3" t="n">
        <v>1.119983014024619</v>
      </c>
      <c r="J6" s="3" t="n">
        <v>1.001462155525016</v>
      </c>
    </row>
    <row r="7">
      <c r="A7" t="inlineStr">
        <is>
          <t>2023-06</t>
        </is>
      </c>
      <c r="B7" s="2" t="n">
        <v>4320</v>
      </c>
      <c r="C7" s="2" t="n">
        <v>411</v>
      </c>
      <c r="D7" s="2" t="n">
        <v>3909</v>
      </c>
      <c r="E7" s="2" t="n">
        <v>8844</v>
      </c>
      <c r="F7" s="2" t="n">
        <v>8587</v>
      </c>
      <c r="G7" s="3" t="n">
        <v>0.9048611111111111</v>
      </c>
      <c r="H7" s="3" t="n">
        <v>0.9709407507914971</v>
      </c>
      <c r="I7" s="3" t="n">
        <v>1.159977515458122</v>
      </c>
      <c r="J7" s="3" t="n">
        <v>1.019117416671872</v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3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Region</t>
        </is>
      </c>
      <c r="B1" s="1" t="inlineStr">
        <is>
          <t>Planned_Time_Min</t>
        </is>
      </c>
      <c r="C1" s="1" t="inlineStr">
        <is>
          <t>Downtime_Min</t>
        </is>
      </c>
      <c r="D1" s="1" t="inlineStr">
        <is>
          <t>Run_Time_Min</t>
        </is>
      </c>
      <c r="E1" s="1" t="inlineStr">
        <is>
          <t>Total_Count</t>
        </is>
      </c>
      <c r="F1" s="1" t="inlineStr">
        <is>
          <t>Good_Count</t>
        </is>
      </c>
      <c r="G1" s="1" t="inlineStr">
        <is>
          <t>Availability</t>
        </is>
      </c>
      <c r="H1" s="1" t="inlineStr">
        <is>
          <t>Quality</t>
        </is>
      </c>
      <c r="I1" s="1" t="inlineStr">
        <is>
          <t>Performance</t>
        </is>
      </c>
      <c r="J1" s="1" t="inlineStr">
        <is>
          <t>OEE</t>
        </is>
      </c>
    </row>
    <row r="2">
      <c r="A2" t="inlineStr">
        <is>
          <t>North</t>
        </is>
      </c>
      <c r="B2" s="2" t="n">
        <v>8640</v>
      </c>
      <c r="C2" s="2" t="n">
        <v>764</v>
      </c>
      <c r="D2" s="2" t="n">
        <v>7876</v>
      </c>
      <c r="E2" s="2" t="n">
        <v>18234</v>
      </c>
      <c r="F2" s="2" t="n">
        <v>17727</v>
      </c>
      <c r="G2" s="3" t="n">
        <v>0.9115740740740741</v>
      </c>
      <c r="H2" s="3" t="n">
        <v>0.9721948009213557</v>
      </c>
      <c r="I2" s="3" t="n">
        <v>1.186994368832225</v>
      </c>
      <c r="J2" s="3" t="n">
        <v>1.051947141586148</v>
      </c>
    </row>
    <row r="3">
      <c r="A3" t="inlineStr">
        <is>
          <t>South</t>
        </is>
      </c>
      <c r="B3" s="2" t="n">
        <v>8640</v>
      </c>
      <c r="C3" s="2" t="n">
        <v>764</v>
      </c>
      <c r="D3" s="2" t="n">
        <v>7876</v>
      </c>
      <c r="E3" s="2" t="n">
        <v>16547</v>
      </c>
      <c r="F3" s="2" t="n">
        <v>16087</v>
      </c>
      <c r="G3" s="3" t="n">
        <v>0.9115740740740741</v>
      </c>
      <c r="H3" s="3" t="n">
        <v>0.9722003988638424</v>
      </c>
      <c r="I3" s="3" t="n">
        <v>1.077174279975147</v>
      </c>
      <c r="J3" s="3" t="n">
        <v>0.9546270472553938</v>
      </c>
    </row>
    <row r="4">
      <c r="A4" t="inlineStr">
        <is>
          <t>West</t>
        </is>
      </c>
      <c r="B4" s="2" t="n">
        <v>8640</v>
      </c>
      <c r="C4" s="2" t="n">
        <v>764</v>
      </c>
      <c r="D4" s="2" t="n">
        <v>7876</v>
      </c>
      <c r="E4" s="2" t="n">
        <v>15871</v>
      </c>
      <c r="F4" s="2" t="n">
        <v>15430</v>
      </c>
      <c r="G4" s="3" t="n">
        <v>0.9115740740740741</v>
      </c>
      <c r="H4" s="3" t="n">
        <v>0.9722134711108311</v>
      </c>
      <c r="I4" s="3" t="n">
        <v>1.033168127001</v>
      </c>
      <c r="J4" s="3" t="n">
        <v>0.9156396680021588</v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4" customWidth="1" min="5" max="5"/>
    <col width="13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Planned_Time_Min</t>
        </is>
      </c>
      <c r="D1" s="1" t="inlineStr">
        <is>
          <t>Downtime_Min</t>
        </is>
      </c>
      <c r="E1" s="1" t="inlineStr">
        <is>
          <t>Run_Time_Min</t>
        </is>
      </c>
      <c r="F1" s="1" t="inlineStr">
        <is>
          <t>Total_Count</t>
        </is>
      </c>
      <c r="G1" s="1" t="inlineStr">
        <is>
          <t>Good_Count</t>
        </is>
      </c>
      <c r="H1" s="1" t="inlineStr">
        <is>
          <t>Availability</t>
        </is>
      </c>
      <c r="I1" s="1" t="inlineStr">
        <is>
          <t>Quality</t>
        </is>
      </c>
      <c r="J1" s="1" t="inlineStr">
        <is>
          <t>Performance</t>
        </is>
      </c>
      <c r="K1" s="1" t="inlineStr">
        <is>
          <t>OEE</t>
        </is>
      </c>
    </row>
    <row r="2">
      <c r="A2" t="inlineStr">
        <is>
          <t>Bearings</t>
        </is>
      </c>
      <c r="B2" t="inlineStr">
        <is>
          <t>North</t>
        </is>
      </c>
      <c r="C2" s="2" t="n">
        <v>2880</v>
      </c>
      <c r="D2" s="2" t="n">
        <v>312</v>
      </c>
      <c r="E2" s="2" t="n">
        <v>2568</v>
      </c>
      <c r="F2" s="2" t="n">
        <v>5646</v>
      </c>
      <c r="G2" s="3" t="n">
        <v>5467</v>
      </c>
      <c r="H2" s="3" t="n">
        <v>0.8916666666666667</v>
      </c>
      <c r="I2" s="3" t="n">
        <v>0.9682961388593695</v>
      </c>
      <c r="J2" s="3" t="n">
        <v>1.245872274143302</v>
      </c>
      <c r="K2" t="n">
        <v>1.07568287037037</v>
      </c>
    </row>
    <row r="3">
      <c r="A3" t="inlineStr">
        <is>
          <t>Bearings</t>
        </is>
      </c>
      <c r="B3" t="inlineStr">
        <is>
          <t>South</t>
        </is>
      </c>
      <c r="C3" s="2" t="n">
        <v>2880</v>
      </c>
      <c r="D3" s="2" t="n">
        <v>312</v>
      </c>
      <c r="E3" s="2" t="n">
        <v>2568</v>
      </c>
      <c r="F3" s="2" t="n">
        <v>5124</v>
      </c>
      <c r="G3" s="3" t="n">
        <v>4961</v>
      </c>
      <c r="H3" s="3" t="n">
        <v>0.8916666666666667</v>
      </c>
      <c r="I3" s="3" t="n">
        <v>0.9681889149102264</v>
      </c>
      <c r="J3" s="3" t="n">
        <v>1.130685358255452</v>
      </c>
      <c r="K3" t="n">
        <v>0.9761226851851852</v>
      </c>
    </row>
    <row r="4">
      <c r="A4" t="inlineStr">
        <is>
          <t>Bearings</t>
        </is>
      </c>
      <c r="B4" t="inlineStr">
        <is>
          <t>West</t>
        </is>
      </c>
      <c r="C4" s="2" t="n">
        <v>2880</v>
      </c>
      <c r="D4" s="2" t="n">
        <v>312</v>
      </c>
      <c r="E4" s="2" t="n">
        <v>2568</v>
      </c>
      <c r="F4" s="2" t="n">
        <v>4915</v>
      </c>
      <c r="G4" s="3" t="n">
        <v>4760</v>
      </c>
      <c r="H4" s="3" t="n">
        <v>0.8916666666666667</v>
      </c>
      <c r="I4" s="3" t="n">
        <v>0.9684638860630722</v>
      </c>
      <c r="J4" s="3" t="n">
        <v>1.084566458982347</v>
      </c>
      <c r="K4" t="n">
        <v>0.936574074074074</v>
      </c>
    </row>
    <row r="5">
      <c r="A5" t="inlineStr">
        <is>
          <t>Gears</t>
        </is>
      </c>
      <c r="B5" t="inlineStr">
        <is>
          <t>North</t>
        </is>
      </c>
      <c r="C5" s="2" t="n">
        <v>2880</v>
      </c>
      <c r="D5" s="2" t="n">
        <v>198</v>
      </c>
      <c r="E5" s="2" t="n">
        <v>2682</v>
      </c>
      <c r="F5" s="2" t="n">
        <v>6668</v>
      </c>
      <c r="G5" s="3" t="n">
        <v>6503</v>
      </c>
      <c r="H5" s="3" t="n">
        <v>0.93125</v>
      </c>
      <c r="I5" s="3" t="n">
        <v>0.9752549490101979</v>
      </c>
      <c r="J5" s="3" t="n">
        <v>1.1602286850609</v>
      </c>
      <c r="K5" t="n">
        <v>1.053726851851852</v>
      </c>
    </row>
    <row r="6">
      <c r="A6" t="inlineStr">
        <is>
          <t>Gears</t>
        </is>
      </c>
      <c r="B6" t="inlineStr">
        <is>
          <t>South</t>
        </is>
      </c>
      <c r="C6" s="2" t="n">
        <v>2880</v>
      </c>
      <c r="D6" s="2" t="n">
        <v>198</v>
      </c>
      <c r="E6" s="2" t="n">
        <v>2682</v>
      </c>
      <c r="F6" s="2" t="n">
        <v>6050</v>
      </c>
      <c r="G6" s="3" t="n">
        <v>5902</v>
      </c>
      <c r="H6" s="3" t="n">
        <v>0.93125</v>
      </c>
      <c r="I6" s="3" t="n">
        <v>0.9755371900826446</v>
      </c>
      <c r="J6" s="3" t="n">
        <v>1.052696992294308</v>
      </c>
      <c r="K6" t="n">
        <v>0.9563425925925926</v>
      </c>
    </row>
    <row r="7">
      <c r="A7" t="inlineStr">
        <is>
          <t>Gears</t>
        </is>
      </c>
      <c r="B7" t="inlineStr">
        <is>
          <t>West</t>
        </is>
      </c>
      <c r="C7" s="2" t="n">
        <v>2880</v>
      </c>
      <c r="D7" s="2" t="n">
        <v>198</v>
      </c>
      <c r="E7" s="2" t="n">
        <v>2682</v>
      </c>
      <c r="F7" s="2" t="n">
        <v>5803</v>
      </c>
      <c r="G7" s="3" t="n">
        <v>5660</v>
      </c>
      <c r="H7" s="3" t="n">
        <v>0.93125</v>
      </c>
      <c r="I7" s="3" t="n">
        <v>0.9753575736687921</v>
      </c>
      <c r="J7" s="3" t="n">
        <v>1.009719115088243</v>
      </c>
      <c r="K7" t="n">
        <v>0.9171296296296299</v>
      </c>
    </row>
    <row r="8">
      <c r="A8" t="inlineStr">
        <is>
          <t>Shafts</t>
        </is>
      </c>
      <c r="B8" t="inlineStr">
        <is>
          <t>North</t>
        </is>
      </c>
      <c r="C8" s="2" t="n">
        <v>2880</v>
      </c>
      <c r="D8" s="2" t="n">
        <v>254</v>
      </c>
      <c r="E8" s="2" t="n">
        <v>2626</v>
      </c>
      <c r="F8" s="2" t="n">
        <v>5920</v>
      </c>
      <c r="G8" s="3" t="n">
        <v>5757</v>
      </c>
      <c r="H8" s="3" t="n">
        <v>0.9118055555555555</v>
      </c>
      <c r="I8" s="3" t="n">
        <v>0.9724662162162162</v>
      </c>
      <c r="J8" s="3" t="n">
        <v>1.164762630109165</v>
      </c>
      <c r="K8" t="n">
        <v>1.032795138888889</v>
      </c>
    </row>
    <row r="9">
      <c r="A9" t="inlineStr">
        <is>
          <t>Shafts</t>
        </is>
      </c>
      <c r="B9" t="inlineStr">
        <is>
          <t>South</t>
        </is>
      </c>
      <c r="C9" s="2" t="n">
        <v>2880</v>
      </c>
      <c r="D9" s="2" t="n">
        <v>254</v>
      </c>
      <c r="E9" s="2" t="n">
        <v>2626</v>
      </c>
      <c r="F9" s="2" t="n">
        <v>5373</v>
      </c>
      <c r="G9" s="3" t="n">
        <v>5224</v>
      </c>
      <c r="H9" s="3" t="n">
        <v>0.9118055555555555</v>
      </c>
      <c r="I9" s="3" t="n">
        <v>0.9722687511632235</v>
      </c>
      <c r="J9" s="3" t="n">
        <v>1.057140137090632</v>
      </c>
      <c r="K9" t="n">
        <v>0.9371759259259259</v>
      </c>
    </row>
    <row r="10">
      <c r="A10" t="inlineStr">
        <is>
          <t>Shafts</t>
        </is>
      </c>
      <c r="B10" t="inlineStr">
        <is>
          <t>West</t>
        </is>
      </c>
      <c r="C10" s="2" t="n">
        <v>2880</v>
      </c>
      <c r="D10" s="2" t="n">
        <v>254</v>
      </c>
      <c r="E10" s="2" t="n">
        <v>2626</v>
      </c>
      <c r="F10" s="2" t="n">
        <v>5153</v>
      </c>
      <c r="G10" s="3" t="n">
        <v>5010</v>
      </c>
      <c r="H10" s="3" t="n">
        <v>0.9118055555555555</v>
      </c>
      <c r="I10" s="3" t="n">
        <v>0.9722491752377256</v>
      </c>
      <c r="J10" s="3" t="n">
        <v>1.013855039350089</v>
      </c>
      <c r="K10" t="n">
        <v>0.8987847222222223</v>
      </c>
    </row>
  </sheetData>
  <autoFilter ref="A1:K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</cols>
  <sheetData>
    <row r="1">
      <c r="A1" s="1" t="inlineStr">
        <is>
          <t>Component</t>
        </is>
      </c>
      <c r="B1" s="1" t="inlineStr">
        <is>
          <t>Formula</t>
        </is>
      </c>
      <c r="C1" s="1" t="inlineStr">
        <is>
          <t>Meaning</t>
        </is>
      </c>
    </row>
    <row r="2">
      <c r="A2" t="inlineStr">
        <is>
          <t>Availability</t>
        </is>
      </c>
      <c r="B2" t="inlineStr">
        <is>
          <t>Run Time / Planned Time</t>
        </is>
      </c>
      <c r="C2" t="inlineStr">
        <is>
          <t>Measures time available for production.</t>
        </is>
      </c>
    </row>
    <row r="3">
      <c r="A3" t="inlineStr">
        <is>
          <t>Performance</t>
        </is>
      </c>
      <c r="B3" t="inlineStr">
        <is>
          <t>Actual Output / Ideal Output</t>
        </is>
      </c>
      <c r="C3" t="inlineStr">
        <is>
          <t>Measures production speed relative to ideal.</t>
        </is>
      </c>
    </row>
    <row r="4">
      <c r="A4" t="inlineStr">
        <is>
          <t>Quality</t>
        </is>
      </c>
      <c r="B4" t="inlineStr">
        <is>
          <t>Good Count / Total Count</t>
        </is>
      </c>
      <c r="C4" t="inlineStr">
        <is>
          <t>Measures proportion of good output.</t>
        </is>
      </c>
    </row>
    <row r="5">
      <c r="A5" t="inlineStr">
        <is>
          <t>OEE</t>
        </is>
      </c>
      <c r="B5" t="inlineStr">
        <is>
          <t>Availability × Performance × Quality</t>
        </is>
      </c>
      <c r="C5" t="inlineStr">
        <is>
          <t>Combines the three components.</t>
        </is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Method</t>
        </is>
      </c>
    </row>
    <row r="2">
      <c r="A2" t="inlineStr">
        <is>
          <t>Q1</t>
        </is>
      </c>
      <c r="B2" t="inlineStr">
        <is>
          <t>What is Availability?</t>
        </is>
      </c>
      <c r="C2" t="inlineStr">
        <is>
          <t>Review OEE_Components.</t>
        </is>
      </c>
    </row>
    <row r="3">
      <c r="A3" t="inlineStr">
        <is>
          <t>Q2</t>
        </is>
      </c>
      <c r="B3" t="inlineStr">
        <is>
          <t>What is Performance?</t>
        </is>
      </c>
      <c r="C3" t="inlineStr">
        <is>
          <t>Review OEE_Components.</t>
        </is>
      </c>
    </row>
    <row r="4">
      <c r="A4" t="inlineStr">
        <is>
          <t>Q3</t>
        </is>
      </c>
      <c r="B4" t="inlineStr">
        <is>
          <t>What is Quality?</t>
        </is>
      </c>
      <c r="C4" t="inlineStr">
        <is>
          <t>Review OEE_Components.</t>
        </is>
      </c>
    </row>
    <row r="5">
      <c r="A5" t="inlineStr">
        <is>
          <t>Q4</t>
        </is>
      </c>
      <c r="B5" t="inlineStr">
        <is>
          <t>How is OEE calculated?</t>
        </is>
      </c>
      <c r="C5" t="inlineStr">
        <is>
          <t>Multiply the three components.</t>
        </is>
      </c>
    </row>
    <row r="6">
      <c r="A6" t="inlineStr">
        <is>
          <t>Q5</t>
        </is>
      </c>
      <c r="B6" t="inlineStr">
        <is>
          <t>Which product has the highest OEE?</t>
        </is>
      </c>
      <c r="C6" t="inlineStr">
        <is>
          <t>Use OEE_Product_Summary.</t>
        </is>
      </c>
    </row>
    <row r="7">
      <c r="A7" t="inlineStr">
        <is>
          <t>Q6</t>
        </is>
      </c>
      <c r="B7" t="inlineStr">
        <is>
          <t>Which month has the highest OEE?</t>
        </is>
      </c>
      <c r="C7" t="inlineStr">
        <is>
          <t>Use OEE_Monthly.</t>
        </is>
      </c>
    </row>
    <row r="8">
      <c r="A8" t="inlineStr">
        <is>
          <t>Q7</t>
        </is>
      </c>
      <c r="B8" t="inlineStr">
        <is>
          <t>Which region has the highest OEE?</t>
        </is>
      </c>
      <c r="C8" t="inlineStr">
        <is>
          <t>Use OEE_Region.</t>
        </is>
      </c>
    </row>
    <row r="9">
      <c r="A9" t="inlineStr">
        <is>
          <t>Q8</t>
        </is>
      </c>
      <c r="B9" t="inlineStr">
        <is>
          <t>Which component is relatively lowest for each product?</t>
        </is>
      </c>
      <c r="C9" t="inlineStr">
        <is>
          <t>Compare Availability, Performance and Quality.</t>
        </is>
      </c>
    </row>
    <row r="10">
      <c r="A10" t="inlineStr">
        <is>
          <t>Q9</t>
        </is>
      </c>
      <c r="B10" t="inlineStr">
        <is>
          <t>Why should OEE be decomposed?</t>
        </is>
      </c>
      <c r="C10" t="inlineStr">
        <is>
          <t>Explain component-level analysis.</t>
        </is>
      </c>
    </row>
    <row r="11">
      <c r="A11" t="inlineStr">
        <is>
          <t>Q10</t>
        </is>
      </c>
      <c r="B11" t="inlineStr">
        <is>
          <t>Write three evidence-based OEE insights.</t>
        </is>
      </c>
      <c r="C11" t="inlineStr">
        <is>
          <t>Use summaries and dashboard.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1" customWidth="1" min="3" max="3"/>
  </cols>
  <sheetData>
    <row r="1">
      <c r="A1" s="1" t="inlineStr">
        <is>
          <t>Insight_Area</t>
        </is>
      </c>
      <c r="B1" s="1" t="inlineStr">
        <is>
          <t>Observation</t>
        </is>
      </c>
      <c r="C1" s="1" t="inlineStr">
        <is>
          <t>Evidence_Sheet</t>
        </is>
      </c>
    </row>
    <row r="2">
      <c r="A2" t="inlineStr">
        <is>
          <t>Overall Availability</t>
        </is>
      </c>
      <c r="B2" t="inlineStr">
        <is>
          <t>91.16% overall availability.</t>
        </is>
      </c>
      <c r="C2" t="inlineStr">
        <is>
          <t>OEE_Data</t>
        </is>
      </c>
    </row>
    <row r="3">
      <c r="A3" t="inlineStr">
        <is>
          <t>Overall Performance</t>
        </is>
      </c>
      <c r="B3" t="inlineStr">
        <is>
          <t>109.91% overall performance.</t>
        </is>
      </c>
      <c r="C3" t="inlineStr">
        <is>
          <t>OEE_Data</t>
        </is>
      </c>
    </row>
    <row r="4">
      <c r="A4" t="inlineStr">
        <is>
          <t>Overall Quality</t>
        </is>
      </c>
      <c r="B4" t="inlineStr">
        <is>
          <t>97.22% overall quality.</t>
        </is>
      </c>
      <c r="C4" t="inlineStr">
        <is>
          <t>OEE_Data</t>
        </is>
      </c>
    </row>
    <row r="5">
      <c r="A5" t="inlineStr">
        <is>
          <t>Overall OEE</t>
        </is>
      </c>
      <c r="B5" t="inlineStr">
        <is>
          <t>97.41% overall OEE.</t>
        </is>
      </c>
      <c r="C5" t="inlineStr">
        <is>
          <t>OEE_Data</t>
        </is>
      </c>
    </row>
    <row r="6">
      <c r="A6" t="inlineStr">
        <is>
          <t>Product OEE</t>
        </is>
      </c>
      <c r="B6" t="inlineStr">
        <is>
          <t>Bearings has the highest product-level OEE in this illustrative dataset.</t>
        </is>
      </c>
      <c r="C6" t="inlineStr">
        <is>
          <t>OEE_Product_Summary</t>
        </is>
      </c>
    </row>
    <row r="7">
      <c r="A7" t="inlineStr">
        <is>
          <t>Monthly OEE</t>
        </is>
      </c>
      <c r="B7" t="inlineStr">
        <is>
          <t>2023-06 has the highest monthly OEE.</t>
        </is>
      </c>
      <c r="C7" t="inlineStr">
        <is>
          <t>OEE_Monthly</t>
        </is>
      </c>
    </row>
    <row r="8">
      <c r="A8" t="inlineStr">
        <is>
          <t>Regional OEE</t>
        </is>
      </c>
      <c r="B8" t="inlineStr">
        <is>
          <t>North has the highest regional OEE.</t>
        </is>
      </c>
      <c r="C8" t="inlineStr">
        <is>
          <t>OEE_Region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Format</t>
        </is>
      </c>
    </row>
    <row r="2">
      <c r="A2" t="inlineStr">
        <is>
          <t>Record_ID</t>
        </is>
      </c>
      <c r="B2" t="inlineStr">
        <is>
          <t>Unique OEE observation</t>
        </is>
      </c>
      <c r="C2" t="inlineStr">
        <is>
          <t>Text</t>
        </is>
      </c>
    </row>
    <row r="3">
      <c r="A3" t="inlineStr">
        <is>
          <t>Month</t>
        </is>
      </c>
      <c r="B3" t="inlineStr">
        <is>
          <t>Observation month</t>
        </is>
      </c>
      <c r="C3" t="inlineStr">
        <is>
          <t>YYYY-MM</t>
        </is>
      </c>
    </row>
    <row r="4">
      <c r="A4" t="inlineStr">
        <is>
          <t>Product</t>
        </is>
      </c>
      <c r="B4" t="inlineStr">
        <is>
          <t>Manufactured product</t>
        </is>
      </c>
      <c r="C4" t="inlineStr">
        <is>
          <t>Text</t>
        </is>
      </c>
    </row>
    <row r="5">
      <c r="A5" t="inlineStr">
        <is>
          <t>Region</t>
        </is>
      </c>
      <c r="B5" t="inlineStr">
        <is>
          <t>Operating region</t>
        </is>
      </c>
      <c r="C5" t="inlineStr">
        <is>
          <t>Text</t>
        </is>
      </c>
    </row>
    <row r="6">
      <c r="A6" t="inlineStr">
        <is>
          <t>Planned_Time_Min</t>
        </is>
      </c>
      <c r="B6" t="inlineStr">
        <is>
          <t>Scheduled production time</t>
        </is>
      </c>
      <c r="C6" t="inlineStr">
        <is>
          <t>Minutes</t>
        </is>
      </c>
    </row>
    <row r="7">
      <c r="A7" t="inlineStr">
        <is>
          <t>Downtime_Min</t>
        </is>
      </c>
      <c r="B7" t="inlineStr">
        <is>
          <t>Time unavailable for production</t>
        </is>
      </c>
      <c r="C7" t="inlineStr">
        <is>
          <t>Minutes</t>
        </is>
      </c>
    </row>
    <row r="8">
      <c r="A8" t="inlineStr">
        <is>
          <t>Run_Time_Min</t>
        </is>
      </c>
      <c r="B8" t="inlineStr">
        <is>
          <t>Production time after downtime</t>
        </is>
      </c>
      <c r="C8" t="inlineStr">
        <is>
          <t>Minutes</t>
        </is>
      </c>
    </row>
    <row r="9">
      <c r="A9" t="inlineStr">
        <is>
          <t>Ideal_Cycle_Time_Sec</t>
        </is>
      </c>
      <c r="B9" t="inlineStr">
        <is>
          <t>Illustrative ideal cycle time</t>
        </is>
      </c>
      <c r="C9" t="inlineStr">
        <is>
          <t>Seconds/unit</t>
        </is>
      </c>
    </row>
    <row r="10">
      <c r="A10" t="inlineStr">
        <is>
          <t>Total_Count</t>
        </is>
      </c>
      <c r="B10" t="inlineStr">
        <is>
          <t>Total output count</t>
        </is>
      </c>
      <c r="C10" t="inlineStr">
        <is>
          <t>Units</t>
        </is>
      </c>
    </row>
    <row r="11">
      <c r="A11" t="inlineStr">
        <is>
          <t>Good_Count</t>
        </is>
      </c>
      <c r="B11" t="inlineStr">
        <is>
          <t>Good output count</t>
        </is>
      </c>
      <c r="C11" t="inlineStr">
        <is>
          <t>Units</t>
        </is>
      </c>
    </row>
    <row r="12">
      <c r="A12" t="inlineStr">
        <is>
          <t>Availability</t>
        </is>
      </c>
      <c r="B12" t="inlineStr">
        <is>
          <t>Run time divided by planned time</t>
        </is>
      </c>
      <c r="C12" t="inlineStr">
        <is>
          <t>Percentage</t>
        </is>
      </c>
    </row>
    <row r="13">
      <c r="A13" t="inlineStr">
        <is>
          <t>Performance</t>
        </is>
      </c>
      <c r="B13" t="inlineStr">
        <is>
          <t>Actual output relative to ideal output</t>
        </is>
      </c>
      <c r="C13" t="inlineStr">
        <is>
          <t>Percentage</t>
        </is>
      </c>
    </row>
    <row r="14">
      <c r="A14" t="inlineStr">
        <is>
          <t>Quality</t>
        </is>
      </c>
      <c r="B14" t="inlineStr">
        <is>
          <t>Good count divided by total count</t>
        </is>
      </c>
      <c r="C14" t="inlineStr">
        <is>
          <t>Percentage</t>
        </is>
      </c>
    </row>
    <row r="15">
      <c r="A15" t="inlineStr">
        <is>
          <t>OEE</t>
        </is>
      </c>
      <c r="B15" t="inlineStr">
        <is>
          <t>Availability × Performance × Quality</t>
        </is>
      </c>
      <c r="C15" t="inlineStr">
        <is>
          <t>Percentage</t>
        </is>
      </c>
    </row>
  </sheetData>
  <autoFilter ref="A1:C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</cols>
  <sheetData>
    <row r="1">
      <c r="A1" s="1" t="inlineStr">
        <is>
          <t>Step</t>
        </is>
      </c>
      <c r="B1" s="1" t="inlineStr">
        <is>
          <t>Calculation</t>
        </is>
      </c>
      <c r="C1" s="1" t="inlineStr">
        <is>
          <t>Purpose</t>
        </is>
      </c>
    </row>
    <row r="2">
      <c r="A2" t="inlineStr">
        <is>
          <t>Step</t>
        </is>
      </c>
      <c r="B2" t="inlineStr">
        <is>
          <t>Calculation</t>
        </is>
      </c>
      <c r="C2" t="inlineStr">
        <is>
          <t>Purpose</t>
        </is>
      </c>
    </row>
    <row r="3">
      <c r="A3" t="inlineStr">
        <is>
          <t>1</t>
        </is>
      </c>
      <c r="B3" t="inlineStr">
        <is>
          <t>Planned Time - Downtime = Run Time</t>
        </is>
      </c>
      <c r="C3" t="inlineStr">
        <is>
          <t>Calculate production run time</t>
        </is>
      </c>
    </row>
    <row r="4">
      <c r="A4" t="inlineStr">
        <is>
          <t>2</t>
        </is>
      </c>
      <c r="B4" t="inlineStr">
        <is>
          <t>Run Time / Planned Time</t>
        </is>
      </c>
      <c r="C4" t="inlineStr">
        <is>
          <t>Calculate Availability</t>
        </is>
      </c>
    </row>
    <row r="5">
      <c r="A5" t="inlineStr">
        <is>
          <t>3</t>
        </is>
      </c>
      <c r="B5" t="inlineStr">
        <is>
          <t>Run Time × 60 / Ideal Cycle Time</t>
        </is>
      </c>
      <c r="C5" t="inlineStr">
        <is>
          <t>Calculate Ideal Output</t>
        </is>
      </c>
    </row>
    <row r="6">
      <c r="A6" t="inlineStr">
        <is>
          <t>4</t>
        </is>
      </c>
      <c r="B6" t="inlineStr">
        <is>
          <t>Actual Output / Ideal Output</t>
        </is>
      </c>
      <c r="C6" t="inlineStr">
        <is>
          <t>Calculate Performance</t>
        </is>
      </c>
    </row>
    <row r="7">
      <c r="A7" t="inlineStr">
        <is>
          <t>5</t>
        </is>
      </c>
      <c r="B7" t="inlineStr">
        <is>
          <t>Good Count / Total Count</t>
        </is>
      </c>
      <c r="C7" t="inlineStr">
        <is>
          <t>Calculate Quality</t>
        </is>
      </c>
    </row>
    <row r="8">
      <c r="A8" t="inlineStr">
        <is>
          <t>6</t>
        </is>
      </c>
      <c r="B8" t="inlineStr">
        <is>
          <t>Availability × Performance × Quality</t>
        </is>
      </c>
      <c r="C8" t="inlineStr">
        <is>
          <t>Calculate OEE</t>
        </is>
      </c>
    </row>
    <row r="9">
      <c r="A9" t="inlineStr">
        <is>
          <t>7</t>
        </is>
      </c>
      <c r="B9" t="inlineStr">
        <is>
          <t>GROUP BY Product</t>
        </is>
      </c>
      <c r="C9" t="inlineStr">
        <is>
          <t>Compare products</t>
        </is>
      </c>
    </row>
    <row r="10">
      <c r="A10" t="inlineStr">
        <is>
          <t>8</t>
        </is>
      </c>
      <c r="B10" t="inlineStr">
        <is>
          <t>GROUP BY Month</t>
        </is>
      </c>
      <c r="C10" t="inlineStr">
        <is>
          <t>Compare months</t>
        </is>
      </c>
    </row>
    <row r="11">
      <c r="A11" t="inlineStr">
        <is>
          <t>9</t>
        </is>
      </c>
      <c r="B11" t="inlineStr">
        <is>
          <t>GROUP BY Region</t>
        </is>
      </c>
      <c r="C11" t="inlineStr">
        <is>
          <t>Compare regions</t>
        </is>
      </c>
    </row>
    <row r="12">
      <c r="A12" t="inlineStr">
        <is>
          <t>10</t>
        </is>
      </c>
      <c r="B12" t="inlineStr">
        <is>
          <t>GROUP BY Product + Region</t>
        </is>
      </c>
      <c r="C12" t="inlineStr">
        <is>
          <t>Detailed OEE comparison</t>
        </is>
      </c>
    </row>
  </sheetData>
  <autoFilter ref="A1:C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4" t="inlineStr">
        <is>
          <t>OEE Discussion — Availability, Performance, Quality</t>
        </is>
      </c>
    </row>
    <row r="3">
      <c r="A3" s="5" t="inlineStr">
        <is>
          <t>Dataset Note</t>
        </is>
      </c>
      <c r="B3" s="6" t="inlineStr">
        <is>
          <t>Illustrative ACE Gears-style OEE practice data; not official IITM data.</t>
        </is>
      </c>
    </row>
    <row r="4">
      <c r="A4" s="5" t="inlineStr">
        <is>
          <t>Core Formula</t>
        </is>
      </c>
      <c r="B4" s="6" t="inlineStr">
        <is>
          <t>OEE = Availability × Performance × Quality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Step 1</t>
        </is>
      </c>
      <c r="B2" t="inlineStr">
        <is>
          <t>Open OEE_Data and understand the OEE components.</t>
        </is>
      </c>
    </row>
    <row r="3">
      <c r="A3" t="inlineStr">
        <is>
          <t>Step 2</t>
        </is>
      </c>
      <c r="B3" t="inlineStr">
        <is>
          <t>Review OEE_Components.</t>
        </is>
      </c>
    </row>
    <row r="4">
      <c r="A4" t="inlineStr">
        <is>
          <t>Step 3</t>
        </is>
      </c>
      <c r="B4" t="inlineStr">
        <is>
          <t>Review OEE_Product_Summary.</t>
        </is>
      </c>
    </row>
    <row r="5">
      <c r="A5" t="inlineStr">
        <is>
          <t>Step 4</t>
        </is>
      </c>
      <c r="B5" t="inlineStr">
        <is>
          <t>Review OEE_Monthly.</t>
        </is>
      </c>
    </row>
    <row r="6">
      <c r="A6" t="inlineStr">
        <is>
          <t>Step 5</t>
        </is>
      </c>
      <c r="B6" t="inlineStr">
        <is>
          <t>Review OEE_Region.</t>
        </is>
      </c>
    </row>
    <row r="7">
      <c r="A7" t="inlineStr">
        <is>
          <t>Step 6</t>
        </is>
      </c>
      <c r="B7" t="inlineStr">
        <is>
          <t>Review OEE_Product_Region.</t>
        </is>
      </c>
    </row>
    <row r="8">
      <c r="A8" t="inlineStr">
        <is>
          <t>Step 7</t>
        </is>
      </c>
      <c r="B8" t="inlineStr">
        <is>
          <t>Answer OEE_Questions.</t>
        </is>
      </c>
    </row>
    <row r="9">
      <c r="A9" t="inlineStr">
        <is>
          <t>Step 8</t>
        </is>
      </c>
      <c r="B9" t="inlineStr">
        <is>
          <t>Review Business_Insights.</t>
        </is>
      </c>
    </row>
    <row r="10">
      <c r="A10" t="inlineStr">
        <is>
          <t>Step 9</t>
        </is>
      </c>
      <c r="B10" t="inlineStr">
        <is>
          <t>Review the dashboard.</t>
        </is>
      </c>
    </row>
    <row r="11">
      <c r="A11" t="inlineStr">
        <is>
          <t>Step 10</t>
        </is>
      </c>
      <c r="B11" t="inlineStr">
        <is>
          <t>Write evidence-based OEE observations.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2026-09-16T04:54:02Z</dcterms:created>
  <dcterms:modified xmlns:dcterms="http://purl.org/dc/terms/" xmlns:xsi="http://www.w3.org/2001/XMLSchema-instance" xsi:type="dcterms:W3CDTF">2026-09-16T04:54:02Z</dcterms:modified>
</cp:coreProperties>
</file>