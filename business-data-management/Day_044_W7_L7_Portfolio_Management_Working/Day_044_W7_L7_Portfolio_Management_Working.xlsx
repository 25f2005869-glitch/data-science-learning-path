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Data" sheetId="1" state="visible" r:id="rId1"/>
    <sheet xmlns:r="http://schemas.openxmlformats.org/officeDocument/2006/relationships" name="Product_Portfolio" sheetId="2" state="visible" r:id="rId2"/>
    <sheet xmlns:r="http://schemas.openxmlformats.org/officeDocument/2006/relationships" name="Portfolio_Metrics" sheetId="3" state="visible" r:id="rId3"/>
    <sheet xmlns:r="http://schemas.openxmlformats.org/officeDocument/2006/relationships" name="Product_Ranking" sheetId="4" state="visible" r:id="rId4"/>
    <sheet xmlns:r="http://schemas.openxmlformats.org/officeDocument/2006/relationships" name="Portfolio_Questions" sheetId="5" state="visible" r:id="rId5"/>
    <sheet xmlns:r="http://schemas.openxmlformats.org/officeDocument/2006/relationships" name="Business_Insight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Portfolio_Working" sheetId="8" state="visible" r:id="rId8"/>
    <sheet xmlns:r="http://schemas.openxmlformats.org/officeDocument/2006/relationships" name="Portfolio_Dashboard" sheetId="9" state="visible" r:id="rId9"/>
    <sheet xmlns:r="http://schemas.openxmlformats.org/officeDocument/2006/relationships" name="Instructions" sheetId="10" state="visible" r:id="rId10"/>
  </sheets>
  <definedNames>
    <definedName name="_xlnm._FilterDatabase" localSheetId="0" hidden="1">'Portfolio_Data'!$A$1:$M$37</definedName>
    <definedName name="_xlnm._FilterDatabase" localSheetId="1" hidden="1">'Product_Portfolio'!$A$1:$N$4</definedName>
    <definedName name="_xlnm._FilterDatabase" localSheetId="2" hidden="1">'Portfolio_Metrics'!$A$1:$B$9</definedName>
    <definedName name="_xlnm._FilterDatabase" localSheetId="3" hidden="1">'Product_Ranking'!$A$1:$G$4</definedName>
    <definedName name="_xlnm._FilterDatabase" localSheetId="4" hidden="1">'Portfolio_Questions'!$A$1:$C$9</definedName>
    <definedName name="_xlnm._FilterDatabase" localSheetId="5" hidden="1">'Business_Insights'!$A$1:$C$6</definedName>
    <definedName name="_xlnm._FilterDatabase" localSheetId="6" hidden="1">'Data_Dictionary'!$A$1:$B$10</definedName>
    <definedName name="_xlnm._FilterDatabase" localSheetId="7" hidden="1">'Portfolio_Working'!$A$1:$G$4</definedName>
    <definedName name="_xlnm._FilterDatabase" localSheetId="9" hidden="1">'Instructions'!$A$1:$B$8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'Portfolio_Dashboard'!B9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'Portfolio_Dashboard'!$A$10:$A$12</f>
            </numRef>
          </cat>
          <val>
            <numRef>
              <f>'Portfolio_Dashboard'!$B$10:$B$12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'Portfolio_Dashboard'!C9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'Portfolio_Dashboard'!$A$10:$A$12</f>
            </numRef>
          </cat>
          <val>
            <numRef>
              <f>'Portfolio_Dashboard'!$C$10:$C$12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'Portfolio_Dashboard'!D9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'Portfolio_Dashboard'!$A$10:$A$12</f>
            </numRef>
          </cat>
          <val>
            <numRef>
              <f>'Portfolio_Dashboard'!$D$10:$D$12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8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13" customWidth="1" min="7" max="7"/>
    <col width="13" customWidth="1" min="8" max="8"/>
    <col width="19" customWidth="1" min="9" max="9"/>
    <col width="12" customWidth="1" min="10" max="10"/>
    <col width="17" customWidth="1" min="11" max="11"/>
    <col width="14" customWidth="1" min="12" max="12"/>
    <col width="21" customWidth="1" min="13" max="13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Customer_Type</t>
        </is>
      </c>
      <c r="F1" s="1" t="inlineStr">
        <is>
          <t>Production_Units</t>
        </is>
      </c>
      <c r="G1" s="1" t="inlineStr">
        <is>
          <t>Sales_Units</t>
        </is>
      </c>
      <c r="H1" s="1" t="inlineStr">
        <is>
          <t>Scrap_Units</t>
        </is>
      </c>
      <c r="I1" s="1" t="inlineStr">
        <is>
          <t>Closing_Inventory</t>
        </is>
      </c>
      <c r="J1" s="1" t="inlineStr">
        <is>
          <t>Revenue</t>
        </is>
      </c>
      <c r="K1" s="1" t="inlineStr">
        <is>
          <t>Production_Cost</t>
        </is>
      </c>
      <c r="L1" s="1" t="inlineStr">
        <is>
          <t>Gross_Margin</t>
        </is>
      </c>
      <c r="M1" s="1" t="inlineStr">
        <is>
          <t>Margin_%</t>
        </is>
      </c>
    </row>
    <row r="2">
      <c r="A2" t="n">
        <v>1</v>
      </c>
      <c r="B2" t="inlineStr">
        <is>
          <t>2023-01</t>
        </is>
      </c>
      <c r="C2" t="inlineStr">
        <is>
          <t>Gears</t>
        </is>
      </c>
      <c r="D2" t="inlineStr">
        <is>
          <t>North</t>
        </is>
      </c>
      <c r="E2" t="inlineStr">
        <is>
          <t>OEM</t>
        </is>
      </c>
      <c r="F2" t="n">
        <v>1144</v>
      </c>
      <c r="G2" t="n">
        <v>1006</v>
      </c>
      <c r="H2" t="n">
        <v>32</v>
      </c>
      <c r="I2" t="n">
        <v>1098</v>
      </c>
      <c r="J2" t="n">
        <v>540000</v>
      </c>
      <c r="K2" t="n">
        <v>378000</v>
      </c>
      <c r="L2" t="n">
        <v>162000</v>
      </c>
      <c r="M2" t="n">
        <v>0.3</v>
      </c>
    </row>
    <row r="3">
      <c r="A3" t="n">
        <v>2</v>
      </c>
      <c r="B3" t="inlineStr">
        <is>
          <t>2023-01</t>
        </is>
      </c>
      <c r="C3" t="inlineStr">
        <is>
          <t>Gears</t>
        </is>
      </c>
      <c r="D3" t="inlineStr">
        <is>
          <t>South</t>
        </is>
      </c>
      <c r="E3" t="inlineStr">
        <is>
          <t>Distributor</t>
        </is>
      </c>
      <c r="F3" t="n">
        <v>1144</v>
      </c>
      <c r="G3" t="n">
        <v>1006</v>
      </c>
      <c r="H3" t="n">
        <v>32</v>
      </c>
      <c r="I3" t="n">
        <v>1098</v>
      </c>
      <c r="J3" t="n">
        <v>470000</v>
      </c>
      <c r="K3" t="n">
        <v>329000</v>
      </c>
      <c r="L3" t="n">
        <v>141000</v>
      </c>
      <c r="M3" t="n">
        <v>0.3</v>
      </c>
    </row>
    <row r="4">
      <c r="A4" t="n">
        <v>3</v>
      </c>
      <c r="B4" t="inlineStr">
        <is>
          <t>2023-01</t>
        </is>
      </c>
      <c r="C4" t="inlineStr">
        <is>
          <t>Shafts</t>
        </is>
      </c>
      <c r="D4" t="inlineStr">
        <is>
          <t>North</t>
        </is>
      </c>
      <c r="E4" t="inlineStr">
        <is>
          <t>OEM</t>
        </is>
      </c>
      <c r="F4" t="n">
        <v>1078</v>
      </c>
      <c r="G4" t="n">
        <v>937</v>
      </c>
      <c r="H4" t="n">
        <v>29</v>
      </c>
      <c r="I4" t="n">
        <v>1034</v>
      </c>
      <c r="J4" t="n">
        <v>430000</v>
      </c>
      <c r="K4" t="n">
        <v>309600</v>
      </c>
      <c r="L4" t="n">
        <v>120400</v>
      </c>
      <c r="M4" t="n">
        <v>0.28</v>
      </c>
    </row>
    <row r="5">
      <c r="A5" t="n">
        <v>4</v>
      </c>
      <c r="B5" t="inlineStr">
        <is>
          <t>2023-01</t>
        </is>
      </c>
      <c r="C5" t="inlineStr">
        <is>
          <t>Shafts</t>
        </is>
      </c>
      <c r="D5" t="inlineStr">
        <is>
          <t>West</t>
        </is>
      </c>
      <c r="E5" t="inlineStr">
        <is>
          <t>Distributor</t>
        </is>
      </c>
      <c r="F5" t="n">
        <v>1078</v>
      </c>
      <c r="G5" t="n">
        <v>937</v>
      </c>
      <c r="H5" t="n">
        <v>29</v>
      </c>
      <c r="I5" t="n">
        <v>1034</v>
      </c>
      <c r="J5" t="n">
        <v>395000</v>
      </c>
      <c r="K5" t="n">
        <v>284400</v>
      </c>
      <c r="L5" t="n">
        <v>110600</v>
      </c>
      <c r="M5" t="n">
        <v>0.28</v>
      </c>
    </row>
    <row r="6">
      <c r="A6" t="n">
        <v>5</v>
      </c>
      <c r="B6" t="inlineStr">
        <is>
          <t>2023-01</t>
        </is>
      </c>
      <c r="C6" t="inlineStr">
        <is>
          <t>Bearings</t>
        </is>
      </c>
      <c r="D6" t="inlineStr">
        <is>
          <t>South</t>
        </is>
      </c>
      <c r="E6" t="inlineStr">
        <is>
          <t>OEM</t>
        </is>
      </c>
      <c r="F6" t="n">
        <v>1100</v>
      </c>
      <c r="G6" t="n">
        <v>946</v>
      </c>
      <c r="H6" t="n">
        <v>31</v>
      </c>
      <c r="I6" t="n">
        <v>1056</v>
      </c>
      <c r="J6" t="n">
        <v>384000</v>
      </c>
      <c r="K6" t="n">
        <v>288000</v>
      </c>
      <c r="L6" t="n">
        <v>96000</v>
      </c>
      <c r="M6" t="n">
        <v>0.25</v>
      </c>
    </row>
    <row r="7">
      <c r="A7" t="n">
        <v>6</v>
      </c>
      <c r="B7" t="inlineStr">
        <is>
          <t>2023-01</t>
        </is>
      </c>
      <c r="C7" t="inlineStr">
        <is>
          <t>Bearings</t>
        </is>
      </c>
      <c r="D7" t="inlineStr">
        <is>
          <t>West</t>
        </is>
      </c>
      <c r="E7" t="inlineStr">
        <is>
          <t>Distributor</t>
        </is>
      </c>
      <c r="F7" t="n">
        <v>1100</v>
      </c>
      <c r="G7" t="n">
        <v>946</v>
      </c>
      <c r="H7" t="n">
        <v>31</v>
      </c>
      <c r="I7" t="n">
        <v>1056</v>
      </c>
      <c r="J7" t="n">
        <v>360000</v>
      </c>
      <c r="K7" t="n">
        <v>270000</v>
      </c>
      <c r="L7" t="n">
        <v>90000</v>
      </c>
      <c r="M7" t="n">
        <v>0.25</v>
      </c>
    </row>
    <row r="8">
      <c r="A8" t="n">
        <v>7</v>
      </c>
      <c r="B8" t="inlineStr">
        <is>
          <t>2023-02</t>
        </is>
      </c>
      <c r="C8" t="inlineStr">
        <is>
          <t>Gears</t>
        </is>
      </c>
      <c r="D8" t="inlineStr">
        <is>
          <t>North</t>
        </is>
      </c>
      <c r="E8" t="inlineStr">
        <is>
          <t>OEM</t>
        </is>
      </c>
      <c r="F8" t="n">
        <v>1189</v>
      </c>
      <c r="G8" t="n">
        <v>1046</v>
      </c>
      <c r="H8" t="n">
        <v>33</v>
      </c>
      <c r="I8" t="n">
        <v>1141</v>
      </c>
      <c r="J8" t="n">
        <v>561600</v>
      </c>
      <c r="K8" t="n">
        <v>393120</v>
      </c>
      <c r="L8" t="n">
        <v>168480</v>
      </c>
      <c r="M8" t="n">
        <v>0.3</v>
      </c>
    </row>
    <row r="9">
      <c r="A9" t="n">
        <v>8</v>
      </c>
      <c r="B9" t="inlineStr">
        <is>
          <t>2023-02</t>
        </is>
      </c>
      <c r="C9" t="inlineStr">
        <is>
          <t>Gears</t>
        </is>
      </c>
      <c r="D9" t="inlineStr">
        <is>
          <t>South</t>
        </is>
      </c>
      <c r="E9" t="inlineStr">
        <is>
          <t>Distributor</t>
        </is>
      </c>
      <c r="F9" t="n">
        <v>1189</v>
      </c>
      <c r="G9" t="n">
        <v>1046</v>
      </c>
      <c r="H9" t="n">
        <v>33</v>
      </c>
      <c r="I9" t="n">
        <v>1141</v>
      </c>
      <c r="J9" t="n">
        <v>488800</v>
      </c>
      <c r="K9" t="n">
        <v>342160</v>
      </c>
      <c r="L9" t="n">
        <v>146640</v>
      </c>
      <c r="M9" t="n">
        <v>0.3</v>
      </c>
    </row>
    <row r="10">
      <c r="A10" t="n">
        <v>9</v>
      </c>
      <c r="B10" t="inlineStr">
        <is>
          <t>2023-02</t>
        </is>
      </c>
      <c r="C10" t="inlineStr">
        <is>
          <t>Shafts</t>
        </is>
      </c>
      <c r="D10" t="inlineStr">
        <is>
          <t>North</t>
        </is>
      </c>
      <c r="E10" t="inlineStr">
        <is>
          <t>OEM</t>
        </is>
      </c>
      <c r="F10" t="n">
        <v>1121</v>
      </c>
      <c r="G10" t="n">
        <v>975</v>
      </c>
      <c r="H10" t="n">
        <v>30</v>
      </c>
      <c r="I10" t="n">
        <v>1076</v>
      </c>
      <c r="J10" t="n">
        <v>447200</v>
      </c>
      <c r="K10" t="n">
        <v>321984</v>
      </c>
      <c r="L10" t="n">
        <v>125216</v>
      </c>
      <c r="M10" t="n">
        <v>0.28</v>
      </c>
    </row>
    <row r="11">
      <c r="A11" t="n">
        <v>10</v>
      </c>
      <c r="B11" t="inlineStr">
        <is>
          <t>2023-02</t>
        </is>
      </c>
      <c r="C11" t="inlineStr">
        <is>
          <t>Shafts</t>
        </is>
      </c>
      <c r="D11" t="inlineStr">
        <is>
          <t>West</t>
        </is>
      </c>
      <c r="E11" t="inlineStr">
        <is>
          <t>Distributor</t>
        </is>
      </c>
      <c r="F11" t="n">
        <v>1121</v>
      </c>
      <c r="G11" t="n">
        <v>975</v>
      </c>
      <c r="H11" t="n">
        <v>30</v>
      </c>
      <c r="I11" t="n">
        <v>1076</v>
      </c>
      <c r="J11" t="n">
        <v>410800</v>
      </c>
      <c r="K11" t="n">
        <v>295776</v>
      </c>
      <c r="L11" t="n">
        <v>115024</v>
      </c>
      <c r="M11" t="n">
        <v>0.28</v>
      </c>
    </row>
    <row r="12">
      <c r="A12" t="n">
        <v>11</v>
      </c>
      <c r="B12" t="inlineStr">
        <is>
          <t>2023-02</t>
        </is>
      </c>
      <c r="C12" t="inlineStr">
        <is>
          <t>Bearings</t>
        </is>
      </c>
      <c r="D12" t="inlineStr">
        <is>
          <t>South</t>
        </is>
      </c>
      <c r="E12" t="inlineStr">
        <is>
          <t>OEM</t>
        </is>
      </c>
      <c r="F12" t="n">
        <v>1144</v>
      </c>
      <c r="G12" t="n">
        <v>983</v>
      </c>
      <c r="H12" t="n">
        <v>33</v>
      </c>
      <c r="I12" t="n">
        <v>1098</v>
      </c>
      <c r="J12" t="n">
        <v>399360</v>
      </c>
      <c r="K12" t="n">
        <v>299520</v>
      </c>
      <c r="L12" t="n">
        <v>99840</v>
      </c>
      <c r="M12" t="n">
        <v>0.25</v>
      </c>
    </row>
    <row r="13">
      <c r="A13" t="n">
        <v>12</v>
      </c>
      <c r="B13" t="inlineStr">
        <is>
          <t>2023-02</t>
        </is>
      </c>
      <c r="C13" t="inlineStr">
        <is>
          <t>Bearings</t>
        </is>
      </c>
      <c r="D13" t="inlineStr">
        <is>
          <t>West</t>
        </is>
      </c>
      <c r="E13" t="inlineStr">
        <is>
          <t>Distributor</t>
        </is>
      </c>
      <c r="F13" t="n">
        <v>1144</v>
      </c>
      <c r="G13" t="n">
        <v>983</v>
      </c>
      <c r="H13" t="n">
        <v>33</v>
      </c>
      <c r="I13" t="n">
        <v>1098</v>
      </c>
      <c r="J13" t="n">
        <v>374400</v>
      </c>
      <c r="K13" t="n">
        <v>280800</v>
      </c>
      <c r="L13" t="n">
        <v>93600</v>
      </c>
      <c r="M13" t="n">
        <v>0.25</v>
      </c>
    </row>
    <row r="14">
      <c r="A14" t="n">
        <v>13</v>
      </c>
      <c r="B14" t="inlineStr">
        <is>
          <t>2023-03</t>
        </is>
      </c>
      <c r="C14" t="inlineStr">
        <is>
          <t>Gears</t>
        </is>
      </c>
      <c r="D14" t="inlineStr">
        <is>
          <t>North</t>
        </is>
      </c>
      <c r="E14" t="inlineStr">
        <is>
          <t>OEM</t>
        </is>
      </c>
      <c r="F14" t="n">
        <v>1235</v>
      </c>
      <c r="G14" t="n">
        <v>1086</v>
      </c>
      <c r="H14" t="n">
        <v>34</v>
      </c>
      <c r="I14" t="n">
        <v>1185</v>
      </c>
      <c r="J14" t="n">
        <v>583200</v>
      </c>
      <c r="K14" t="n">
        <v>408240</v>
      </c>
      <c r="L14" t="n">
        <v>174960</v>
      </c>
      <c r="M14" t="n">
        <v>0.3</v>
      </c>
    </row>
    <row r="15">
      <c r="A15" t="n">
        <v>14</v>
      </c>
      <c r="B15" t="inlineStr">
        <is>
          <t>2023-03</t>
        </is>
      </c>
      <c r="C15" t="inlineStr">
        <is>
          <t>Gears</t>
        </is>
      </c>
      <c r="D15" t="inlineStr">
        <is>
          <t>South</t>
        </is>
      </c>
      <c r="E15" t="inlineStr">
        <is>
          <t>Distributor</t>
        </is>
      </c>
      <c r="F15" t="n">
        <v>1235</v>
      </c>
      <c r="G15" t="n">
        <v>1086</v>
      </c>
      <c r="H15" t="n">
        <v>34</v>
      </c>
      <c r="I15" t="n">
        <v>1185</v>
      </c>
      <c r="J15" t="n">
        <v>507600</v>
      </c>
      <c r="K15" t="n">
        <v>355320</v>
      </c>
      <c r="L15" t="n">
        <v>152280</v>
      </c>
      <c r="M15" t="n">
        <v>0.3</v>
      </c>
    </row>
    <row r="16">
      <c r="A16" t="n">
        <v>15</v>
      </c>
      <c r="B16" t="inlineStr">
        <is>
          <t>2023-03</t>
        </is>
      </c>
      <c r="C16" t="inlineStr">
        <is>
          <t>Shafts</t>
        </is>
      </c>
      <c r="D16" t="inlineStr">
        <is>
          <t>North</t>
        </is>
      </c>
      <c r="E16" t="inlineStr">
        <is>
          <t>OEM</t>
        </is>
      </c>
      <c r="F16" t="n">
        <v>1164</v>
      </c>
      <c r="G16" t="n">
        <v>1012</v>
      </c>
      <c r="H16" t="n">
        <v>31</v>
      </c>
      <c r="I16" t="n">
        <v>1117</v>
      </c>
      <c r="J16" t="n">
        <v>464400</v>
      </c>
      <c r="K16" t="n">
        <v>334368</v>
      </c>
      <c r="L16" t="n">
        <v>130032</v>
      </c>
      <c r="M16" t="n">
        <v>0.28</v>
      </c>
    </row>
    <row r="17">
      <c r="A17" t="n">
        <v>16</v>
      </c>
      <c r="B17" t="inlineStr">
        <is>
          <t>2023-03</t>
        </is>
      </c>
      <c r="C17" t="inlineStr">
        <is>
          <t>Shafts</t>
        </is>
      </c>
      <c r="D17" t="inlineStr">
        <is>
          <t>West</t>
        </is>
      </c>
      <c r="E17" t="inlineStr">
        <is>
          <t>Distributor</t>
        </is>
      </c>
      <c r="F17" t="n">
        <v>1164</v>
      </c>
      <c r="G17" t="n">
        <v>1012</v>
      </c>
      <c r="H17" t="n">
        <v>31</v>
      </c>
      <c r="I17" t="n">
        <v>1117</v>
      </c>
      <c r="J17" t="n">
        <v>426600</v>
      </c>
      <c r="K17" t="n">
        <v>307152</v>
      </c>
      <c r="L17" t="n">
        <v>119448</v>
      </c>
      <c r="M17" t="n">
        <v>0.28</v>
      </c>
    </row>
    <row r="18">
      <c r="A18" t="n">
        <v>17</v>
      </c>
      <c r="B18" t="inlineStr">
        <is>
          <t>2023-03</t>
        </is>
      </c>
      <c r="C18" t="inlineStr">
        <is>
          <t>Bearings</t>
        </is>
      </c>
      <c r="D18" t="inlineStr">
        <is>
          <t>South</t>
        </is>
      </c>
      <c r="E18" t="inlineStr">
        <is>
          <t>OEM</t>
        </is>
      </c>
      <c r="F18" t="n">
        <v>1188</v>
      </c>
      <c r="G18" t="n">
        <v>1021</v>
      </c>
      <c r="H18" t="n">
        <v>34</v>
      </c>
      <c r="I18" t="n">
        <v>1140</v>
      </c>
      <c r="J18" t="n">
        <v>414720</v>
      </c>
      <c r="K18" t="n">
        <v>311040</v>
      </c>
      <c r="L18" t="n">
        <v>103680</v>
      </c>
      <c r="M18" t="n">
        <v>0.25</v>
      </c>
    </row>
    <row r="19">
      <c r="A19" t="n">
        <v>18</v>
      </c>
      <c r="B19" t="inlineStr">
        <is>
          <t>2023-03</t>
        </is>
      </c>
      <c r="C19" t="inlineStr">
        <is>
          <t>Bearings</t>
        </is>
      </c>
      <c r="D19" t="inlineStr">
        <is>
          <t>West</t>
        </is>
      </c>
      <c r="E19" t="inlineStr">
        <is>
          <t>Distributor</t>
        </is>
      </c>
      <c r="F19" t="n">
        <v>1188</v>
      </c>
      <c r="G19" t="n">
        <v>1021</v>
      </c>
      <c r="H19" t="n">
        <v>34</v>
      </c>
      <c r="I19" t="n">
        <v>1140</v>
      </c>
      <c r="J19" t="n">
        <v>388800</v>
      </c>
      <c r="K19" t="n">
        <v>291600</v>
      </c>
      <c r="L19" t="n">
        <v>97200</v>
      </c>
      <c r="M19" t="n">
        <v>0.25</v>
      </c>
    </row>
    <row r="20">
      <c r="A20" t="n">
        <v>19</v>
      </c>
      <c r="B20" t="inlineStr">
        <is>
          <t>2023-04</t>
        </is>
      </c>
      <c r="C20" t="inlineStr">
        <is>
          <t>Gears</t>
        </is>
      </c>
      <c r="D20" t="inlineStr">
        <is>
          <t>North</t>
        </is>
      </c>
      <c r="E20" t="inlineStr">
        <is>
          <t>OEM</t>
        </is>
      </c>
      <c r="F20" t="n">
        <v>1281</v>
      </c>
      <c r="G20" t="n">
        <v>1127</v>
      </c>
      <c r="H20" t="n">
        <v>35</v>
      </c>
      <c r="I20" t="n">
        <v>1229</v>
      </c>
      <c r="J20" t="n">
        <v>604800</v>
      </c>
      <c r="K20" t="n">
        <v>423360</v>
      </c>
      <c r="L20" t="n">
        <v>181440</v>
      </c>
      <c r="M20" t="n">
        <v>0.3</v>
      </c>
    </row>
    <row r="21">
      <c r="A21" t="n">
        <v>20</v>
      </c>
      <c r="B21" t="inlineStr">
        <is>
          <t>2023-04</t>
        </is>
      </c>
      <c r="C21" t="inlineStr">
        <is>
          <t>Gears</t>
        </is>
      </c>
      <c r="D21" t="inlineStr">
        <is>
          <t>South</t>
        </is>
      </c>
      <c r="E21" t="inlineStr">
        <is>
          <t>Distributor</t>
        </is>
      </c>
      <c r="F21" t="n">
        <v>1281</v>
      </c>
      <c r="G21" t="n">
        <v>1127</v>
      </c>
      <c r="H21" t="n">
        <v>35</v>
      </c>
      <c r="I21" t="n">
        <v>1229</v>
      </c>
      <c r="J21" t="n">
        <v>526400</v>
      </c>
      <c r="K21" t="n">
        <v>368480</v>
      </c>
      <c r="L21" t="n">
        <v>157920</v>
      </c>
      <c r="M21" t="n">
        <v>0.3</v>
      </c>
    </row>
    <row r="22">
      <c r="A22" t="n">
        <v>21</v>
      </c>
      <c r="B22" t="inlineStr">
        <is>
          <t>2023-04</t>
        </is>
      </c>
      <c r="C22" t="inlineStr">
        <is>
          <t>Shafts</t>
        </is>
      </c>
      <c r="D22" t="inlineStr">
        <is>
          <t>North</t>
        </is>
      </c>
      <c r="E22" t="inlineStr">
        <is>
          <t>OEM</t>
        </is>
      </c>
      <c r="F22" t="n">
        <v>1207</v>
      </c>
      <c r="G22" t="n">
        <v>1050</v>
      </c>
      <c r="H22" t="n">
        <v>32</v>
      </c>
      <c r="I22" t="n">
        <v>1158</v>
      </c>
      <c r="J22" t="n">
        <v>481600</v>
      </c>
      <c r="K22" t="n">
        <v>346752</v>
      </c>
      <c r="L22" t="n">
        <v>134848</v>
      </c>
      <c r="M22" t="n">
        <v>0.28</v>
      </c>
    </row>
    <row r="23">
      <c r="A23" t="n">
        <v>22</v>
      </c>
      <c r="B23" t="inlineStr">
        <is>
          <t>2023-04</t>
        </is>
      </c>
      <c r="C23" t="inlineStr">
        <is>
          <t>Shafts</t>
        </is>
      </c>
      <c r="D23" t="inlineStr">
        <is>
          <t>West</t>
        </is>
      </c>
      <c r="E23" t="inlineStr">
        <is>
          <t>Distributor</t>
        </is>
      </c>
      <c r="F23" t="n">
        <v>1207</v>
      </c>
      <c r="G23" t="n">
        <v>1050</v>
      </c>
      <c r="H23" t="n">
        <v>32</v>
      </c>
      <c r="I23" t="n">
        <v>1158</v>
      </c>
      <c r="J23" t="n">
        <v>442400</v>
      </c>
      <c r="K23" t="n">
        <v>318528</v>
      </c>
      <c r="L23" t="n">
        <v>123872</v>
      </c>
      <c r="M23" t="n">
        <v>0.28</v>
      </c>
    </row>
    <row r="24">
      <c r="A24" t="n">
        <v>23</v>
      </c>
      <c r="B24" t="inlineStr">
        <is>
          <t>2023-04</t>
        </is>
      </c>
      <c r="C24" t="inlineStr">
        <is>
          <t>Bearings</t>
        </is>
      </c>
      <c r="D24" t="inlineStr">
        <is>
          <t>South</t>
        </is>
      </c>
      <c r="E24" t="inlineStr">
        <is>
          <t>OEM</t>
        </is>
      </c>
      <c r="F24" t="n">
        <v>1232</v>
      </c>
      <c r="G24" t="n">
        <v>1059</v>
      </c>
      <c r="H24" t="n">
        <v>35</v>
      </c>
      <c r="I24" t="n">
        <v>1182</v>
      </c>
      <c r="J24" t="n">
        <v>430080</v>
      </c>
      <c r="K24" t="n">
        <v>322560</v>
      </c>
      <c r="L24" t="n">
        <v>107520</v>
      </c>
      <c r="M24" t="n">
        <v>0.25</v>
      </c>
    </row>
    <row r="25">
      <c r="A25" t="n">
        <v>24</v>
      </c>
      <c r="B25" t="inlineStr">
        <is>
          <t>2023-04</t>
        </is>
      </c>
      <c r="C25" t="inlineStr">
        <is>
          <t>Bearings</t>
        </is>
      </c>
      <c r="D25" t="inlineStr">
        <is>
          <t>West</t>
        </is>
      </c>
      <c r="E25" t="inlineStr">
        <is>
          <t>Distributor</t>
        </is>
      </c>
      <c r="F25" t="n">
        <v>1232</v>
      </c>
      <c r="G25" t="n">
        <v>1059</v>
      </c>
      <c r="H25" t="n">
        <v>35</v>
      </c>
      <c r="I25" t="n">
        <v>1182</v>
      </c>
      <c r="J25" t="n">
        <v>403200</v>
      </c>
      <c r="K25" t="n">
        <v>302400</v>
      </c>
      <c r="L25" t="n">
        <v>100800</v>
      </c>
      <c r="M25" t="n">
        <v>0.25</v>
      </c>
    </row>
    <row r="26">
      <c r="A26" t="n">
        <v>25</v>
      </c>
      <c r="B26" t="inlineStr">
        <is>
          <t>2023-05</t>
        </is>
      </c>
      <c r="C26" t="inlineStr">
        <is>
          <t>Gears</t>
        </is>
      </c>
      <c r="D26" t="inlineStr">
        <is>
          <t>North</t>
        </is>
      </c>
      <c r="E26" t="inlineStr">
        <is>
          <t>OEM</t>
        </is>
      </c>
      <c r="F26" t="n">
        <v>1327</v>
      </c>
      <c r="G26" t="n">
        <v>1167</v>
      </c>
      <c r="H26" t="n">
        <v>37</v>
      </c>
      <c r="I26" t="n">
        <v>1273</v>
      </c>
      <c r="J26" t="n">
        <v>626400</v>
      </c>
      <c r="K26" t="n">
        <v>438479</v>
      </c>
      <c r="L26" t="n">
        <v>187921</v>
      </c>
      <c r="M26" t="n">
        <v>0.3000015964240102</v>
      </c>
    </row>
    <row r="27">
      <c r="A27" t="n">
        <v>26</v>
      </c>
      <c r="B27" t="inlineStr">
        <is>
          <t>2023-05</t>
        </is>
      </c>
      <c r="C27" t="inlineStr">
        <is>
          <t>Gears</t>
        </is>
      </c>
      <c r="D27" t="inlineStr">
        <is>
          <t>South</t>
        </is>
      </c>
      <c r="E27" t="inlineStr">
        <is>
          <t>Distributor</t>
        </is>
      </c>
      <c r="F27" t="n">
        <v>1327</v>
      </c>
      <c r="G27" t="n">
        <v>1167</v>
      </c>
      <c r="H27" t="n">
        <v>37</v>
      </c>
      <c r="I27" t="n">
        <v>1273</v>
      </c>
      <c r="J27" t="n">
        <v>545200</v>
      </c>
      <c r="K27" t="n">
        <v>381640</v>
      </c>
      <c r="L27" t="n">
        <v>163560</v>
      </c>
      <c r="M27" t="n">
        <v>0.3</v>
      </c>
    </row>
    <row r="28">
      <c r="A28" t="n">
        <v>27</v>
      </c>
      <c r="B28" t="inlineStr">
        <is>
          <t>2023-05</t>
        </is>
      </c>
      <c r="C28" t="inlineStr">
        <is>
          <t>Shafts</t>
        </is>
      </c>
      <c r="D28" t="inlineStr">
        <is>
          <t>North</t>
        </is>
      </c>
      <c r="E28" t="inlineStr">
        <is>
          <t>OEM</t>
        </is>
      </c>
      <c r="F28" t="n">
        <v>1250</v>
      </c>
      <c r="G28" t="n">
        <v>1087</v>
      </c>
      <c r="H28" t="n">
        <v>33</v>
      </c>
      <c r="I28" t="n">
        <v>1200</v>
      </c>
      <c r="J28" t="n">
        <v>498799</v>
      </c>
      <c r="K28" t="n">
        <v>359136</v>
      </c>
      <c r="L28" t="n">
        <v>139663</v>
      </c>
      <c r="M28" t="n">
        <v>0.2799985565327918</v>
      </c>
    </row>
    <row r="29">
      <c r="A29" t="n">
        <v>28</v>
      </c>
      <c r="B29" t="inlineStr">
        <is>
          <t>2023-05</t>
        </is>
      </c>
      <c r="C29" t="inlineStr">
        <is>
          <t>Shafts</t>
        </is>
      </c>
      <c r="D29" t="inlineStr">
        <is>
          <t>West</t>
        </is>
      </c>
      <c r="E29" t="inlineStr">
        <is>
          <t>Distributor</t>
        </is>
      </c>
      <c r="F29" t="n">
        <v>1250</v>
      </c>
      <c r="G29" t="n">
        <v>1087</v>
      </c>
      <c r="H29" t="n">
        <v>33</v>
      </c>
      <c r="I29" t="n">
        <v>1200</v>
      </c>
      <c r="J29" t="n">
        <v>458199</v>
      </c>
      <c r="K29" t="n">
        <v>329904</v>
      </c>
      <c r="L29" t="n">
        <v>128295</v>
      </c>
      <c r="M29" t="n">
        <v>0.279998428630355</v>
      </c>
    </row>
    <row r="30">
      <c r="A30" t="n">
        <v>29</v>
      </c>
      <c r="B30" t="inlineStr">
        <is>
          <t>2023-05</t>
        </is>
      </c>
      <c r="C30" t="inlineStr">
        <is>
          <t>Bearings</t>
        </is>
      </c>
      <c r="D30" t="inlineStr">
        <is>
          <t>South</t>
        </is>
      </c>
      <c r="E30" t="inlineStr">
        <is>
          <t>OEM</t>
        </is>
      </c>
      <c r="F30" t="n">
        <v>1276</v>
      </c>
      <c r="G30" t="n">
        <v>1097</v>
      </c>
      <c r="H30" t="n">
        <v>37</v>
      </c>
      <c r="I30" t="n">
        <v>1224</v>
      </c>
      <c r="J30" t="n">
        <v>445439</v>
      </c>
      <c r="K30" t="n">
        <v>334080</v>
      </c>
      <c r="L30" t="n">
        <v>111359</v>
      </c>
      <c r="M30" t="n">
        <v>0.2499983162677718</v>
      </c>
    </row>
    <row r="31">
      <c r="A31" t="n">
        <v>30</v>
      </c>
      <c r="B31" t="inlineStr">
        <is>
          <t>2023-05</t>
        </is>
      </c>
      <c r="C31" t="inlineStr">
        <is>
          <t>Bearings</t>
        </is>
      </c>
      <c r="D31" t="inlineStr">
        <is>
          <t>West</t>
        </is>
      </c>
      <c r="E31" t="inlineStr">
        <is>
          <t>Distributor</t>
        </is>
      </c>
      <c r="F31" t="n">
        <v>1276</v>
      </c>
      <c r="G31" t="n">
        <v>1097</v>
      </c>
      <c r="H31" t="n">
        <v>37</v>
      </c>
      <c r="I31" t="n">
        <v>1224</v>
      </c>
      <c r="J31" t="n">
        <v>417600</v>
      </c>
      <c r="K31" t="n">
        <v>313200</v>
      </c>
      <c r="L31" t="n">
        <v>104400</v>
      </c>
      <c r="M31" t="n">
        <v>0.25</v>
      </c>
    </row>
    <row r="32">
      <c r="A32" t="n">
        <v>31</v>
      </c>
      <c r="B32" t="inlineStr">
        <is>
          <t>2023-06</t>
        </is>
      </c>
      <c r="C32" t="inlineStr">
        <is>
          <t>Gears</t>
        </is>
      </c>
      <c r="D32" t="inlineStr">
        <is>
          <t>North</t>
        </is>
      </c>
      <c r="E32" t="inlineStr">
        <is>
          <t>OEM</t>
        </is>
      </c>
      <c r="F32" t="n">
        <v>1372</v>
      </c>
      <c r="G32" t="n">
        <v>1207</v>
      </c>
      <c r="H32" t="n">
        <v>38</v>
      </c>
      <c r="I32" t="n">
        <v>1317</v>
      </c>
      <c r="J32" t="n">
        <v>648000</v>
      </c>
      <c r="K32" t="n">
        <v>453600</v>
      </c>
      <c r="L32" t="n">
        <v>194400</v>
      </c>
      <c r="M32" t="n">
        <v>0.3</v>
      </c>
    </row>
    <row r="33">
      <c r="A33" t="n">
        <v>32</v>
      </c>
      <c r="B33" t="inlineStr">
        <is>
          <t>2023-06</t>
        </is>
      </c>
      <c r="C33" t="inlineStr">
        <is>
          <t>Gears</t>
        </is>
      </c>
      <c r="D33" t="inlineStr">
        <is>
          <t>South</t>
        </is>
      </c>
      <c r="E33" t="inlineStr">
        <is>
          <t>Distributor</t>
        </is>
      </c>
      <c r="F33" t="n">
        <v>1372</v>
      </c>
      <c r="G33" t="n">
        <v>1207</v>
      </c>
      <c r="H33" t="n">
        <v>38</v>
      </c>
      <c r="I33" t="n">
        <v>1317</v>
      </c>
      <c r="J33" t="n">
        <v>564000</v>
      </c>
      <c r="K33" t="n">
        <v>394800</v>
      </c>
      <c r="L33" t="n">
        <v>169200</v>
      </c>
      <c r="M33" t="n">
        <v>0.3</v>
      </c>
    </row>
    <row r="34">
      <c r="A34" t="n">
        <v>33</v>
      </c>
      <c r="B34" t="inlineStr">
        <is>
          <t>2023-06</t>
        </is>
      </c>
      <c r="C34" t="inlineStr">
        <is>
          <t>Shafts</t>
        </is>
      </c>
      <c r="D34" t="inlineStr">
        <is>
          <t>North</t>
        </is>
      </c>
      <c r="E34" t="inlineStr">
        <is>
          <t>OEM</t>
        </is>
      </c>
      <c r="F34" t="n">
        <v>1293</v>
      </c>
      <c r="G34" t="n">
        <v>1124</v>
      </c>
      <c r="H34" t="n">
        <v>34</v>
      </c>
      <c r="I34" t="n">
        <v>1241</v>
      </c>
      <c r="J34" t="n">
        <v>516000</v>
      </c>
      <c r="K34" t="n">
        <v>371520</v>
      </c>
      <c r="L34" t="n">
        <v>144480</v>
      </c>
      <c r="M34" t="n">
        <v>0.28</v>
      </c>
    </row>
    <row r="35">
      <c r="A35" t="n">
        <v>34</v>
      </c>
      <c r="B35" t="inlineStr">
        <is>
          <t>2023-06</t>
        </is>
      </c>
      <c r="C35" t="inlineStr">
        <is>
          <t>Shafts</t>
        </is>
      </c>
      <c r="D35" t="inlineStr">
        <is>
          <t>West</t>
        </is>
      </c>
      <c r="E35" t="inlineStr">
        <is>
          <t>Distributor</t>
        </is>
      </c>
      <c r="F35" t="n">
        <v>1293</v>
      </c>
      <c r="G35" t="n">
        <v>1124</v>
      </c>
      <c r="H35" t="n">
        <v>34</v>
      </c>
      <c r="I35" t="n">
        <v>1241</v>
      </c>
      <c r="J35" t="n">
        <v>474000</v>
      </c>
      <c r="K35" t="n">
        <v>341280</v>
      </c>
      <c r="L35" t="n">
        <v>132720</v>
      </c>
      <c r="M35" t="n">
        <v>0.28</v>
      </c>
    </row>
    <row r="36">
      <c r="A36" t="n">
        <v>35</v>
      </c>
      <c r="B36" t="inlineStr">
        <is>
          <t>2023-06</t>
        </is>
      </c>
      <c r="C36" t="inlineStr">
        <is>
          <t>Bearings</t>
        </is>
      </c>
      <c r="D36" t="inlineStr">
        <is>
          <t>South</t>
        </is>
      </c>
      <c r="E36" t="inlineStr">
        <is>
          <t>OEM</t>
        </is>
      </c>
      <c r="F36" t="n">
        <v>1320</v>
      </c>
      <c r="G36" t="n">
        <v>1135</v>
      </c>
      <c r="H36" t="n">
        <v>38</v>
      </c>
      <c r="I36" t="n">
        <v>1267</v>
      </c>
      <c r="J36" t="n">
        <v>460800</v>
      </c>
      <c r="K36" t="n">
        <v>345600</v>
      </c>
      <c r="L36" t="n">
        <v>115200</v>
      </c>
      <c r="M36" t="n">
        <v>0.25</v>
      </c>
    </row>
    <row r="37">
      <c r="A37" t="n">
        <v>36</v>
      </c>
      <c r="B37" t="inlineStr">
        <is>
          <t>2023-06</t>
        </is>
      </c>
      <c r="C37" t="inlineStr">
        <is>
          <t>Bearings</t>
        </is>
      </c>
      <c r="D37" t="inlineStr">
        <is>
          <t>West</t>
        </is>
      </c>
      <c r="E37" t="inlineStr">
        <is>
          <t>Distributor</t>
        </is>
      </c>
      <c r="F37" t="n">
        <v>1320</v>
      </c>
      <c r="G37" t="n">
        <v>1135</v>
      </c>
      <c r="H37" t="n">
        <v>38</v>
      </c>
      <c r="I37" t="n">
        <v>1267</v>
      </c>
      <c r="J37" t="n">
        <v>432000</v>
      </c>
      <c r="K37" t="n">
        <v>324000</v>
      </c>
      <c r="L37" t="n">
        <v>108000</v>
      </c>
      <c r="M37" t="n">
        <v>0.25</v>
      </c>
    </row>
  </sheetData>
  <autoFilter ref="A1:M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27" customWidth="1" min="5" max="5"/>
    <col width="12" customWidth="1" min="6" max="6"/>
    <col width="17" customWidth="1" min="7" max="7"/>
    <col width="14" customWidth="1" min="8" max="8"/>
    <col width="21" customWidth="1" min="9" max="9"/>
    <col width="21" customWidth="1" min="10" max="10"/>
    <col width="20" customWidth="1" min="11" max="11"/>
    <col width="22" customWidth="1" min="12" max="12"/>
    <col width="14" customWidth="1" min="13" max="13"/>
    <col width="13" customWidth="1" min="14" max="14"/>
  </cols>
  <sheetData>
    <row r="1">
      <c r="A1" s="1" t="inlineStr">
        <is>
          <t>Product</t>
        </is>
      </c>
      <c r="B1" s="1" t="inlineStr">
        <is>
          <t>Production_Units</t>
        </is>
      </c>
      <c r="C1" s="1" t="inlineStr">
        <is>
          <t>Sales_Units</t>
        </is>
      </c>
      <c r="D1" s="1" t="inlineStr">
        <is>
          <t>Scrap_Units</t>
        </is>
      </c>
      <c r="E1" s="1" t="inlineStr">
        <is>
          <t>Average_Closing_Inventory</t>
        </is>
      </c>
      <c r="F1" s="1" t="inlineStr">
        <is>
          <t>Revenue</t>
        </is>
      </c>
      <c r="G1" s="1" t="inlineStr">
        <is>
          <t>Production_Cost</t>
        </is>
      </c>
      <c r="H1" s="1" t="inlineStr">
        <is>
          <t>Gross_Margin</t>
        </is>
      </c>
      <c r="I1" s="1" t="inlineStr">
        <is>
          <t>Margin_%</t>
        </is>
      </c>
      <c r="J1" s="1" t="inlineStr">
        <is>
          <t>Revenue_Share_%</t>
        </is>
      </c>
      <c r="K1" s="1" t="inlineStr">
        <is>
          <t>Sales_Conversion_%</t>
        </is>
      </c>
      <c r="L1" s="1" t="inlineStr">
        <is>
          <t>Scrap_Rate_%</t>
        </is>
      </c>
      <c r="M1" s="1" t="inlineStr">
        <is>
          <t>Revenue_Rank</t>
        </is>
      </c>
      <c r="N1" s="1" t="inlineStr">
        <is>
          <t>Margin_Rank</t>
        </is>
      </c>
    </row>
    <row r="2">
      <c r="A2" t="inlineStr">
        <is>
          <t>Gears</t>
        </is>
      </c>
      <c r="B2" t="n">
        <v>15096</v>
      </c>
      <c r="C2" t="n">
        <v>13278</v>
      </c>
      <c r="D2" t="n">
        <v>418</v>
      </c>
      <c r="E2" t="n">
        <v>1207.166666666667</v>
      </c>
      <c r="F2" t="n">
        <v>6666000</v>
      </c>
      <c r="G2" t="n">
        <v>4666199</v>
      </c>
      <c r="H2" t="n">
        <v>1999801</v>
      </c>
      <c r="I2" t="n">
        <v>0.3000001500150015</v>
      </c>
      <c r="J2" t="n">
        <v>0.391624729744568</v>
      </c>
      <c r="K2" t="n">
        <v>0.879570747217806</v>
      </c>
      <c r="L2" t="n">
        <v>0.02768945416004239</v>
      </c>
      <c r="M2" t="n">
        <v>1</v>
      </c>
      <c r="N2" t="n">
        <v>1</v>
      </c>
    </row>
    <row r="3">
      <c r="A3" t="inlineStr">
        <is>
          <t>Shafts</t>
        </is>
      </c>
      <c r="B3" t="n">
        <v>14226</v>
      </c>
      <c r="C3" t="n">
        <v>12370</v>
      </c>
      <c r="D3" t="n">
        <v>378</v>
      </c>
      <c r="E3" t="n">
        <v>1137.666666666667</v>
      </c>
      <c r="F3" t="n">
        <v>5444998</v>
      </c>
      <c r="G3" t="n">
        <v>3920400</v>
      </c>
      <c r="H3" t="n">
        <v>1524598</v>
      </c>
      <c r="I3" t="n">
        <v>0.279999735537093</v>
      </c>
      <c r="J3" t="n">
        <v>0.3198913696684238</v>
      </c>
      <c r="K3" t="n">
        <v>0.8695346548573035</v>
      </c>
      <c r="L3" t="n">
        <v>0.02657106706031211</v>
      </c>
      <c r="M3" t="n">
        <v>2</v>
      </c>
      <c r="N3" t="n">
        <v>2</v>
      </c>
    </row>
    <row r="4">
      <c r="A4" t="inlineStr">
        <is>
          <t>Bearings</t>
        </is>
      </c>
      <c r="B4" t="n">
        <v>14520</v>
      </c>
      <c r="C4" t="n">
        <v>12482</v>
      </c>
      <c r="D4" t="n">
        <v>416</v>
      </c>
      <c r="E4" t="n">
        <v>1161.166666666667</v>
      </c>
      <c r="F4" t="n">
        <v>4910399</v>
      </c>
      <c r="G4" t="n">
        <v>3682800</v>
      </c>
      <c r="H4" t="n">
        <v>1227599</v>
      </c>
      <c r="I4" t="n">
        <v>0.249999847262921</v>
      </c>
      <c r="J4" t="n">
        <v>0.2884839005870082</v>
      </c>
      <c r="K4" t="n">
        <v>0.8596418732782369</v>
      </c>
      <c r="L4" t="n">
        <v>0.02865013774104683</v>
      </c>
      <c r="M4" t="n">
        <v>3</v>
      </c>
      <c r="N4" t="n">
        <v>3</v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17021397</v>
      </c>
    </row>
    <row r="3">
      <c r="A3" t="inlineStr">
        <is>
          <t>Total Gross Margin</t>
        </is>
      </c>
      <c r="B3" t="n">
        <v>4751998</v>
      </c>
    </row>
    <row r="4">
      <c r="A4" t="inlineStr">
        <is>
          <t>Overall Margin %</t>
        </is>
      </c>
      <c r="B4" t="n">
        <v>0.2791779076652757</v>
      </c>
    </row>
    <row r="5">
      <c r="A5" t="inlineStr">
        <is>
          <t>Total Production Units</t>
        </is>
      </c>
      <c r="B5" t="n">
        <v>43842</v>
      </c>
    </row>
    <row r="6">
      <c r="A6" t="inlineStr">
        <is>
          <t>Total Sales Units</t>
        </is>
      </c>
      <c r="B6" t="n">
        <v>38130</v>
      </c>
    </row>
    <row r="7">
      <c r="A7" t="inlineStr">
        <is>
          <t>Overall Sales Conversion %</t>
        </is>
      </c>
      <c r="B7" t="n">
        <v>0.869713972902696</v>
      </c>
    </row>
    <row r="8">
      <c r="A8" t="inlineStr">
        <is>
          <t>Total Scrap Units</t>
        </is>
      </c>
      <c r="B8" t="n">
        <v>1212</v>
      </c>
    </row>
    <row r="9">
      <c r="A9" t="inlineStr">
        <is>
          <t>Overall Scrap Rate %</t>
        </is>
      </c>
      <c r="B9" t="n">
        <v>0.02764472423703298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4" customWidth="1" min="4" max="4"/>
    <col width="21" customWidth="1" min="5" max="5"/>
    <col width="14" customWidth="1" min="6" max="6"/>
    <col width="13" customWidth="1" min="7" max="7"/>
  </cols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Revenue_Share_%</t>
        </is>
      </c>
      <c r="D1" s="1" t="inlineStr">
        <is>
          <t>Gross_Margin</t>
        </is>
      </c>
      <c r="E1" s="1" t="inlineStr">
        <is>
          <t>Margin_%</t>
        </is>
      </c>
      <c r="F1" s="1" t="inlineStr">
        <is>
          <t>Revenue_Rank</t>
        </is>
      </c>
      <c r="G1" s="1" t="inlineStr">
        <is>
          <t>Margin_Rank</t>
        </is>
      </c>
    </row>
    <row r="2">
      <c r="A2" t="inlineStr">
        <is>
          <t>Gears</t>
        </is>
      </c>
      <c r="B2" t="n">
        <v>6666000</v>
      </c>
      <c r="C2" t="n">
        <v>0.391624729744568</v>
      </c>
      <c r="D2" t="n">
        <v>1999801</v>
      </c>
      <c r="E2" t="n">
        <v>0.3000001500150015</v>
      </c>
      <c r="F2" t="n">
        <v>1</v>
      </c>
      <c r="G2" t="n">
        <v>1</v>
      </c>
    </row>
    <row r="3">
      <c r="A3" t="inlineStr">
        <is>
          <t>Shafts</t>
        </is>
      </c>
      <c r="B3" t="n">
        <v>5444998</v>
      </c>
      <c r="C3" t="n">
        <v>0.3198913696684238</v>
      </c>
      <c r="D3" t="n">
        <v>1524598</v>
      </c>
      <c r="E3" t="n">
        <v>0.279999735537093</v>
      </c>
      <c r="F3" t="n">
        <v>2</v>
      </c>
      <c r="G3" t="n">
        <v>2</v>
      </c>
    </row>
    <row r="4">
      <c r="A4" t="inlineStr">
        <is>
          <t>Bearings</t>
        </is>
      </c>
      <c r="B4" t="n">
        <v>4910399</v>
      </c>
      <c r="C4" t="n">
        <v>0.2884839005870082</v>
      </c>
      <c r="D4" t="n">
        <v>1227599</v>
      </c>
      <c r="E4" t="n">
        <v>0.249999847262921</v>
      </c>
      <c r="F4" t="n">
        <v>3</v>
      </c>
      <c r="G4" t="n">
        <v>3</v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Working_Guide</t>
        </is>
      </c>
    </row>
    <row r="2">
      <c r="A2" t="inlineStr">
        <is>
          <t>Q1</t>
        </is>
      </c>
      <c r="B2" t="inlineStr">
        <is>
          <t>Which product has the highest revenue?</t>
        </is>
      </c>
      <c r="C2" t="inlineStr">
        <is>
          <t>Check Revenue_Rank.</t>
        </is>
      </c>
    </row>
    <row r="3">
      <c r="A3" t="inlineStr">
        <is>
          <t>Q2</t>
        </is>
      </c>
      <c r="B3" t="inlineStr">
        <is>
          <t>Which product has the highest margin percentage?</t>
        </is>
      </c>
      <c r="C3" t="inlineStr">
        <is>
          <t>Compare Margin_%.</t>
        </is>
      </c>
    </row>
    <row r="4">
      <c r="A4" t="inlineStr">
        <is>
          <t>Q3</t>
        </is>
      </c>
      <c r="B4" t="inlineStr">
        <is>
          <t>What is each product's revenue share?</t>
        </is>
      </c>
      <c r="C4" t="inlineStr">
        <is>
          <t>Use Revenue_Share_%.</t>
        </is>
      </c>
    </row>
    <row r="5">
      <c r="A5" t="inlineStr">
        <is>
          <t>Q4</t>
        </is>
      </c>
      <c r="B5" t="inlineStr">
        <is>
          <t>Which product has the highest sales conversion?</t>
        </is>
      </c>
      <c r="C5" t="inlineStr">
        <is>
          <t>Compare Sales_Conversion_%.</t>
        </is>
      </c>
    </row>
    <row r="6">
      <c r="A6" t="inlineStr">
        <is>
          <t>Q5</t>
        </is>
      </c>
      <c r="B6" t="inlineStr">
        <is>
          <t>Which product has the highest scrap rate?</t>
        </is>
      </c>
      <c r="C6" t="inlineStr">
        <is>
          <t>Compare Scrap_Rate_%.</t>
        </is>
      </c>
    </row>
    <row r="7">
      <c r="A7" t="inlineStr">
        <is>
          <t>Q6</t>
        </is>
      </c>
      <c r="B7" t="inlineStr">
        <is>
          <t>Why compare revenue and margin together?</t>
        </is>
      </c>
      <c r="C7" t="inlineStr">
        <is>
          <t>They measure different aspects of contribution.</t>
        </is>
      </c>
    </row>
    <row r="8">
      <c r="A8" t="inlineStr">
        <is>
          <t>Q7</t>
        </is>
      </c>
      <c r="B8" t="inlineStr">
        <is>
          <t>Why use multiple portfolio metrics?</t>
        </is>
      </c>
      <c r="C8" t="inlineStr">
        <is>
          <t>One metric cannot describe the whole portfolio.</t>
        </is>
      </c>
    </row>
    <row r="9">
      <c r="A9" t="inlineStr">
        <is>
          <t>Q8</t>
        </is>
      </c>
      <c r="B9" t="inlineStr">
        <is>
          <t>What should a portfolio presentation contain?</t>
        </is>
      </c>
      <c r="C9" t="inlineStr">
        <is>
          <t>Question, chart, metric and evidence.</t>
        </is>
      </c>
    </row>
  </sheetData>
  <autoFilter ref="A1:C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1" t="inlineStr">
        <is>
          <t>Area</t>
        </is>
      </c>
      <c r="B1" s="1" t="inlineStr">
        <is>
          <t>Meaning</t>
        </is>
      </c>
      <c r="C1" s="1" t="inlineStr">
        <is>
          <t>Interpretation</t>
        </is>
      </c>
    </row>
    <row r="2">
      <c r="A2" t="inlineStr">
        <is>
          <t>Revenue</t>
        </is>
      </c>
      <c r="B2" t="inlineStr">
        <is>
          <t>Shows product sales-value contribution.</t>
        </is>
      </c>
      <c r="C2" t="inlineStr">
        <is>
          <t>Compare absolute revenue and share.</t>
        </is>
      </c>
    </row>
    <row r="3">
      <c r="A3" t="inlineStr">
        <is>
          <t>Gross Margin</t>
        </is>
      </c>
      <c r="B3" t="inlineStr">
        <is>
          <t>Shows absolute margin contribution.</t>
        </is>
      </c>
      <c r="C3" t="inlineStr">
        <is>
          <t>Compare with margin percentage.</t>
        </is>
      </c>
    </row>
    <row r="4">
      <c r="A4" t="inlineStr">
        <is>
          <t>Margin %</t>
        </is>
      </c>
      <c r="B4" t="inlineStr">
        <is>
          <t>Shows margin relative to revenue.</t>
        </is>
      </c>
      <c r="C4" t="inlineStr">
        <is>
          <t>Useful for normalized comparison.</t>
        </is>
      </c>
    </row>
    <row r="5">
      <c r="A5" t="inlineStr">
        <is>
          <t>Sales Conversion</t>
        </is>
      </c>
      <c r="B5" t="inlineStr">
        <is>
          <t>Sales units relative to production units.</t>
        </is>
      </c>
      <c r="C5" t="inlineStr">
        <is>
          <t>Provides operating context.</t>
        </is>
      </c>
    </row>
    <row r="6">
      <c r="A6" t="inlineStr">
        <is>
          <t>Scrap Rate</t>
        </is>
      </c>
      <c r="B6" t="inlineStr">
        <is>
          <t>Scrap units relative to production units.</t>
        </is>
      </c>
      <c r="C6" t="inlineStr">
        <is>
          <t>Provides production context.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Revenue</t>
        </is>
      </c>
      <c r="B2" t="inlineStr">
        <is>
          <t>Sales value for an observation.</t>
        </is>
      </c>
    </row>
    <row r="3">
      <c r="A3" t="inlineStr">
        <is>
          <t>Production_Cost</t>
        </is>
      </c>
      <c r="B3" t="inlineStr">
        <is>
          <t>Illustrative production cost.</t>
        </is>
      </c>
    </row>
    <row r="4">
      <c r="A4" t="inlineStr">
        <is>
          <t>Gross_Margin</t>
        </is>
      </c>
      <c r="B4" t="inlineStr">
        <is>
          <t>Revenue minus production cost.</t>
        </is>
      </c>
    </row>
    <row r="5">
      <c r="A5" t="inlineStr">
        <is>
          <t>Margin_%</t>
        </is>
      </c>
      <c r="B5" t="inlineStr">
        <is>
          <t>Gross margin divided by revenue.</t>
        </is>
      </c>
    </row>
    <row r="6">
      <c r="A6" t="inlineStr">
        <is>
          <t>Revenue_Share_%</t>
        </is>
      </c>
      <c r="B6" t="inlineStr">
        <is>
          <t>Product revenue divided by total revenue.</t>
        </is>
      </c>
    </row>
    <row r="7">
      <c r="A7" t="inlineStr">
        <is>
          <t>Sales_Conversion_%</t>
        </is>
      </c>
      <c r="B7" t="inlineStr">
        <is>
          <t>Sales units divided by production units.</t>
        </is>
      </c>
    </row>
    <row r="8">
      <c r="A8" t="inlineStr">
        <is>
          <t>Scrap_Rate_%</t>
        </is>
      </c>
      <c r="B8" t="inlineStr">
        <is>
          <t>Scrap units divided by production units.</t>
        </is>
      </c>
    </row>
    <row r="9">
      <c r="A9" t="inlineStr">
        <is>
          <t>Revenue_Rank</t>
        </is>
      </c>
      <c r="B9" t="inlineStr">
        <is>
          <t>Descending product revenue rank.</t>
        </is>
      </c>
    </row>
    <row r="10">
      <c r="A10" t="inlineStr">
        <is>
          <t>Margin_Rank</t>
        </is>
      </c>
      <c r="B10" t="inlineStr">
        <is>
          <t>Descending margin percentage rank.</t>
        </is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  <col width="21" customWidth="1" min="5" max="5"/>
    <col width="20" customWidth="1" min="6" max="6"/>
    <col width="22" customWidth="1" min="7" max="7"/>
  </cols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Gross_Margin</t>
        </is>
      </c>
      <c r="D1" s="1" t="inlineStr">
        <is>
          <t>Margin_%</t>
        </is>
      </c>
      <c r="E1" s="1" t="inlineStr">
        <is>
          <t>Revenue_Share_%</t>
        </is>
      </c>
      <c r="F1" s="1" t="inlineStr">
        <is>
          <t>Sales_Conversion_%</t>
        </is>
      </c>
      <c r="G1" s="1" t="inlineStr">
        <is>
          <t>Scrap_Rate_%</t>
        </is>
      </c>
    </row>
    <row r="2">
      <c r="A2" t="inlineStr">
        <is>
          <t>Gears</t>
        </is>
      </c>
      <c r="B2" t="n">
        <v>6666000</v>
      </c>
      <c r="C2" t="n">
        <v>1999801</v>
      </c>
      <c r="D2" t="n">
        <v>0.3000001500150015</v>
      </c>
      <c r="E2" t="n">
        <v>0.391624729744568</v>
      </c>
      <c r="F2" t="n">
        <v>0.879570747217806</v>
      </c>
      <c r="G2" t="n">
        <v>0.02768945416004239</v>
      </c>
    </row>
    <row r="3">
      <c r="A3" t="inlineStr">
        <is>
          <t>Shafts</t>
        </is>
      </c>
      <c r="B3" t="n">
        <v>5444998</v>
      </c>
      <c r="C3" t="n">
        <v>1524598</v>
      </c>
      <c r="D3" t="n">
        <v>0.279999735537093</v>
      </c>
      <c r="E3" t="n">
        <v>0.3198913696684238</v>
      </c>
      <c r="F3" t="n">
        <v>0.8695346548573035</v>
      </c>
      <c r="G3" t="n">
        <v>0.02657106706031211</v>
      </c>
    </row>
    <row r="4">
      <c r="A4" t="inlineStr">
        <is>
          <t>Bearings</t>
        </is>
      </c>
      <c r="B4" t="n">
        <v>4910399</v>
      </c>
      <c r="C4" t="n">
        <v>1227599</v>
      </c>
      <c r="D4" t="n">
        <v>0.249999847262921</v>
      </c>
      <c r="E4" t="n">
        <v>0.2884839005870082</v>
      </c>
      <c r="F4" t="n">
        <v>0.8596418732782369</v>
      </c>
      <c r="G4" t="n">
        <v>0.02865013774104683</v>
      </c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ACE Gears — Portfolio Management Working</t>
        </is>
      </c>
    </row>
    <row r="3">
      <c r="A3" t="inlineStr">
        <is>
          <t>Illustrative dataset prepared for BDM learning.</t>
        </is>
      </c>
    </row>
    <row r="5">
      <c r="A5" s="1" t="inlineStr">
        <is>
          <t>Total Revenue</t>
        </is>
      </c>
      <c r="D5" s="1" t="inlineStr">
        <is>
          <t>Gross Margin</t>
        </is>
      </c>
      <c r="G5" s="1" t="inlineStr">
        <is>
          <t>Overall Margin %</t>
        </is>
      </c>
    </row>
    <row r="6">
      <c r="A6" s="3" t="n">
        <v>17021397</v>
      </c>
      <c r="D6" s="3" t="n">
        <v>4751998</v>
      </c>
      <c r="G6" s="4" t="n">
        <v>0.2791779076652757</v>
      </c>
    </row>
    <row r="9">
      <c r="A9" s="1" t="inlineStr">
        <is>
          <t>Product</t>
        </is>
      </c>
      <c r="B9" s="1" t="inlineStr">
        <is>
          <t>Revenue</t>
        </is>
      </c>
      <c r="C9" s="1" t="inlineStr">
        <is>
          <t>Gross Margin</t>
        </is>
      </c>
      <c r="D9" s="1" t="inlineStr">
        <is>
          <t>Revenue Share</t>
        </is>
      </c>
    </row>
    <row r="10">
      <c r="A10" t="inlineStr">
        <is>
          <t>Gears</t>
        </is>
      </c>
      <c r="B10" t="n">
        <v>6666000</v>
      </c>
      <c r="C10" t="n">
        <v>1999801</v>
      </c>
      <c r="D10" s="4" t="n">
        <v>0.391624729744568</v>
      </c>
    </row>
    <row r="11">
      <c r="A11" t="inlineStr">
        <is>
          <t>Shafts</t>
        </is>
      </c>
      <c r="B11" t="n">
        <v>5444998</v>
      </c>
      <c r="C11" t="n">
        <v>1524598</v>
      </c>
      <c r="D11" s="4" t="n">
        <v>0.3198913696684238</v>
      </c>
    </row>
    <row r="12">
      <c r="A12" t="inlineStr">
        <is>
          <t>Bearings</t>
        </is>
      </c>
      <c r="B12" t="n">
        <v>4910399</v>
      </c>
      <c r="C12" t="n">
        <v>1227599</v>
      </c>
      <c r="D12" s="4" t="n">
        <v>0.2884839005870082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Open Portfolio_Data and read the fields.</t>
        </is>
      </c>
    </row>
    <row r="3">
      <c r="A3" t="inlineStr">
        <is>
          <t>2</t>
        </is>
      </c>
      <c r="B3" t="inlineStr">
        <is>
          <t>Review Product_Portfolio.</t>
        </is>
      </c>
    </row>
    <row r="4">
      <c r="A4" t="inlineStr">
        <is>
          <t>3</t>
        </is>
      </c>
      <c r="B4" t="inlineStr">
        <is>
          <t>Check Portfolio_Metrics.</t>
        </is>
      </c>
    </row>
    <row r="5">
      <c r="A5" t="inlineStr">
        <is>
          <t>4</t>
        </is>
      </c>
      <c r="B5" t="inlineStr">
        <is>
          <t>Study Product_Ranking.</t>
        </is>
      </c>
    </row>
    <row r="6">
      <c r="A6" t="inlineStr">
        <is>
          <t>5</t>
        </is>
      </c>
      <c r="B6" t="inlineStr">
        <is>
          <t>Answer Portfolio_Questions.</t>
        </is>
      </c>
    </row>
    <row r="7">
      <c r="A7" t="inlineStr">
        <is>
          <t>6</t>
        </is>
      </c>
      <c r="B7" t="inlineStr">
        <is>
          <t>Review Business_Insights.</t>
        </is>
      </c>
    </row>
    <row r="8">
      <c r="A8" t="inlineStr">
        <is>
          <t>7</t>
        </is>
      </c>
      <c r="B8" t="inlineStr">
        <is>
          <t>Explain the three dashboard charts.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2026-09-16T03:56:53Z</dcterms:created>
  <dcterms:modified xmlns:dcterms="http://purl.org/dc/terms/" xmlns:xsi="http://www.w3.org/2001/XMLSchema-instance" xsi:type="dcterms:W3CDTF">2026-09-16T03:56:53Z</dcterms:modified>
</cp:coreProperties>
</file>