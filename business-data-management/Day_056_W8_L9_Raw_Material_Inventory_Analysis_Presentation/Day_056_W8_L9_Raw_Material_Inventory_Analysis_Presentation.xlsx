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aterial_Data" sheetId="1" state="visible" r:id="rId1"/>
    <sheet xmlns:r="http://schemas.openxmlformats.org/officeDocument/2006/relationships" name="Material_Summary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Material_Month" sheetId="5" state="visible" r:id="rId5"/>
    <sheet xmlns:r="http://schemas.openxmlformats.org/officeDocument/2006/relationships" name="Inventory_Analysis_Working" sheetId="6" state="visible" r:id="rId6"/>
    <sheet xmlns:r="http://schemas.openxmlformats.org/officeDocument/2006/relationships" name="Presentation_Flow" sheetId="7" state="visible" r:id="rId7"/>
    <sheet xmlns:r="http://schemas.openxmlformats.org/officeDocument/2006/relationships" name="Presentation_Questions" sheetId="8" state="visible" r:id="rId8"/>
    <sheet xmlns:r="http://schemas.openxmlformats.org/officeDocument/2006/relationships" name="Business_Insight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Instructions" sheetId="11" state="visible" r:id="rId11"/>
    <sheet xmlns:r="http://schemas.openxmlformats.org/officeDocument/2006/relationships" name="Raw_Material_Inventory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8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Closing Inventory by Raw Material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'Material_Summary'!$A$3:$A$5</f>
            </numRef>
          </cat>
          <val>
            <numRef>
              <f>'Material_Summary'!$E$3:$E$5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Raw Material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Material Usage</a:t>
            </a:r>
          </a:p>
        </rich>
      </tx>
    </title>
    <plotArea>
      <lineChart>
        <grouping val="standard"/>
        <ser>
          <idx val="0"/>
          <order val="0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'Monthly_Summary'!$A$3:$A$8</f>
            </numRef>
          </cat>
          <val>
            <numRef>
              <f>'Monthly_Summary'!$C$3:$C$8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Inventory Value by Raw Material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'Material_Summary'!$A$3:$A$5</f>
            </numRef>
          </cat>
          <val>
            <numRef>
              <f>'Material_Summary'!$F$3:$F$5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Raw Material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Closing Inventory vs Reorder Point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'Region_Summary'!$A$3:$A$5</f>
            </numRef>
          </cat>
          <val>
            <numRef>
              <f>'Region_Summary'!$D$3:$D$5</f>
            </numRef>
          </val>
        </ser>
        <ser>
          <idx val="1"/>
          <order val="1"/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'Region_Summary'!$A$3:$A$5</f>
            </numRef>
          </cat>
          <val>
            <numRef>
              <f>'Region_Summary'!$F$3:$F$5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9" customWidth="1" min="5" max="5"/>
    <col width="12" customWidth="1" min="6" max="6"/>
    <col width="16" customWidth="1" min="7" max="7"/>
    <col width="19" customWidth="1" min="8" max="8"/>
    <col width="12" customWidth="1" min="9" max="9"/>
    <col width="17" customWidth="1" min="10" max="10"/>
    <col width="16" customWidth="1" min="11" max="11"/>
    <col width="19" customWidth="1" min="12" max="12"/>
    <col width="18" customWidth="1" min="13" max="13"/>
    <col width="15" customWidth="1" min="14" max="14"/>
    <col width="15" customWidth="1" min="15" max="15"/>
    <col width="21" customWidth="1" min="16" max="16"/>
  </cols>
  <sheetData>
    <row r="1">
      <c r="A1" s="1" t="inlineStr">
        <is>
          <t>Illustrative Raw Material Inventory Dataset</t>
        </is>
      </c>
    </row>
    <row r="2"/>
    <row r="3">
      <c r="A3" s="2" t="inlineStr">
        <is>
          <t>Record_ID</t>
        </is>
      </c>
      <c r="B3" s="2" t="inlineStr">
        <is>
          <t>Month</t>
        </is>
      </c>
      <c r="C3" s="2" t="inlineStr">
        <is>
          <t>Raw_Material</t>
        </is>
      </c>
      <c r="D3" s="2" t="inlineStr">
        <is>
          <t>Region</t>
        </is>
      </c>
      <c r="E3" s="2" t="inlineStr">
        <is>
          <t>Opening_Inventory</t>
        </is>
      </c>
      <c r="F3" s="2" t="inlineStr">
        <is>
          <t>Purchases</t>
        </is>
      </c>
      <c r="G3" s="2" t="inlineStr">
        <is>
          <t>Material_Usage</t>
        </is>
      </c>
      <c r="H3" s="2" t="inlineStr">
        <is>
          <t>Closing_Inventory</t>
        </is>
      </c>
      <c r="I3" s="2" t="inlineStr">
        <is>
          <t>Unit_Cost</t>
        </is>
      </c>
      <c r="J3" s="2" t="inlineStr">
        <is>
          <t>Inventory_Value</t>
        </is>
      </c>
      <c r="K3" s="2" t="inlineStr">
        <is>
          <t>Lead_Time_Days</t>
        </is>
      </c>
      <c r="L3" s="2" t="inlineStr">
        <is>
          <t>Safety_Stock_Days</t>
        </is>
      </c>
      <c r="M3" s="2" t="inlineStr">
        <is>
          <t>Lead_Time_Demand</t>
        </is>
      </c>
      <c r="N3" s="2" t="inlineStr">
        <is>
          <t>Reorder_Point</t>
        </is>
      </c>
      <c r="O3" s="2" t="inlineStr">
        <is>
          <t>Inventory_Gap</t>
        </is>
      </c>
      <c r="P3" s="2" t="inlineStr">
        <is>
          <t>Stock_Status</t>
        </is>
      </c>
    </row>
    <row r="4">
      <c r="A4" s="3" t="n">
        <v>1</v>
      </c>
      <c r="B4" s="3" t="inlineStr">
        <is>
          <t>Jan-2023</t>
        </is>
      </c>
      <c r="C4" s="3" t="inlineStr">
        <is>
          <t>Steel</t>
        </is>
      </c>
      <c r="D4" s="3" t="inlineStr">
        <is>
          <t>North</t>
        </is>
      </c>
      <c r="E4" s="3" t="n">
        <v>864</v>
      </c>
      <c r="F4" s="3" t="n">
        <v>1200</v>
      </c>
      <c r="G4" s="3" t="n">
        <v>1050</v>
      </c>
      <c r="H4" s="3" t="n">
        <v>1014</v>
      </c>
      <c r="I4" s="3" t="n">
        <v>38</v>
      </c>
      <c r="J4" s="3" t="n">
        <v>38532</v>
      </c>
      <c r="K4" s="3" t="n">
        <v>42</v>
      </c>
      <c r="L4" s="3" t="n">
        <v>12</v>
      </c>
      <c r="M4" s="3" t="n">
        <v>1470</v>
      </c>
      <c r="N4" s="3" t="n">
        <v>1890</v>
      </c>
      <c r="O4" s="3" t="n">
        <v>-876</v>
      </c>
      <c r="P4" s="3" t="inlineStr">
        <is>
          <t>Below Reorder Point</t>
        </is>
      </c>
    </row>
    <row r="5">
      <c r="A5" s="3" t="n">
        <v>2</v>
      </c>
      <c r="B5" s="3" t="inlineStr">
        <is>
          <t>Jan-2023</t>
        </is>
      </c>
      <c r="C5" s="3" t="inlineStr">
        <is>
          <t>Aluminium</t>
        </is>
      </c>
      <c r="D5" s="3" t="inlineStr">
        <is>
          <t>South</t>
        </is>
      </c>
      <c r="E5" s="3" t="n">
        <v>648</v>
      </c>
      <c r="F5" s="3" t="n">
        <v>900</v>
      </c>
      <c r="G5" s="3" t="n">
        <v>780</v>
      </c>
      <c r="H5" s="3" t="n">
        <v>768</v>
      </c>
      <c r="I5" s="3" t="n">
        <v>55</v>
      </c>
      <c r="J5" s="3" t="n">
        <v>42240</v>
      </c>
      <c r="K5" s="3" t="n">
        <v>35</v>
      </c>
      <c r="L5" s="3" t="n">
        <v>10</v>
      </c>
      <c r="M5" s="3" t="n">
        <v>910</v>
      </c>
      <c r="N5" s="3" t="n">
        <v>1170</v>
      </c>
      <c r="O5" s="3" t="n">
        <v>-402</v>
      </c>
      <c r="P5" s="3" t="inlineStr">
        <is>
          <t>Below Reorder Point</t>
        </is>
      </c>
    </row>
    <row r="6">
      <c r="A6" s="3" t="n">
        <v>3</v>
      </c>
      <c r="B6" s="3" t="inlineStr">
        <is>
          <t>Jan-2023</t>
        </is>
      </c>
      <c r="C6" s="3" t="inlineStr">
        <is>
          <t>Copper</t>
        </is>
      </c>
      <c r="D6" s="3" t="inlineStr">
        <is>
          <t>West</t>
        </is>
      </c>
      <c r="E6" s="3" t="n">
        <v>468</v>
      </c>
      <c r="F6" s="3" t="n">
        <v>650</v>
      </c>
      <c r="G6" s="3" t="n">
        <v>570</v>
      </c>
      <c r="H6" s="3" t="n">
        <v>548</v>
      </c>
      <c r="I6" s="3" t="n">
        <v>72</v>
      </c>
      <c r="J6" s="3" t="n">
        <v>39456</v>
      </c>
      <c r="K6" s="3" t="n">
        <v>28</v>
      </c>
      <c r="L6" s="3" t="n">
        <v>8</v>
      </c>
      <c r="M6" s="3" t="n">
        <v>532</v>
      </c>
      <c r="N6" s="3" t="n">
        <v>684</v>
      </c>
      <c r="O6" s="3" t="n">
        <v>-136</v>
      </c>
      <c r="P6" s="3" t="inlineStr">
        <is>
          <t>Below Reorder Point</t>
        </is>
      </c>
    </row>
    <row r="7">
      <c r="A7" s="3" t="n">
        <v>4</v>
      </c>
      <c r="B7" s="3" t="inlineStr">
        <is>
          <t>Feb-2023</t>
        </is>
      </c>
      <c r="C7" s="3" t="inlineStr">
        <is>
          <t>Steel</t>
        </is>
      </c>
      <c r="D7" s="3" t="inlineStr">
        <is>
          <t>North</t>
        </is>
      </c>
      <c r="E7" s="3" t="n">
        <v>881</v>
      </c>
      <c r="F7" s="3" t="n">
        <v>1248</v>
      </c>
      <c r="G7" s="3" t="n">
        <v>1092</v>
      </c>
      <c r="H7" s="3" t="n">
        <v>1037</v>
      </c>
      <c r="I7" s="3" t="n">
        <v>38</v>
      </c>
      <c r="J7" s="3" t="n">
        <v>39406</v>
      </c>
      <c r="K7" s="3" t="n">
        <v>42</v>
      </c>
      <c r="L7" s="3" t="n">
        <v>12</v>
      </c>
      <c r="M7" s="3" t="n">
        <v>1529</v>
      </c>
      <c r="N7" s="3" t="n">
        <v>1966</v>
      </c>
      <c r="O7" s="3" t="n">
        <v>-929</v>
      </c>
      <c r="P7" s="3" t="inlineStr">
        <is>
          <t>Below Reorder Point</t>
        </is>
      </c>
    </row>
    <row r="8">
      <c r="A8" s="3" t="n">
        <v>5</v>
      </c>
      <c r="B8" s="3" t="inlineStr">
        <is>
          <t>Feb-2023</t>
        </is>
      </c>
      <c r="C8" s="3" t="inlineStr">
        <is>
          <t>Aluminium</t>
        </is>
      </c>
      <c r="D8" s="3" t="inlineStr">
        <is>
          <t>South</t>
        </is>
      </c>
      <c r="E8" s="3" t="n">
        <v>661</v>
      </c>
      <c r="F8" s="3" t="n">
        <v>936</v>
      </c>
      <c r="G8" s="3" t="n">
        <v>811</v>
      </c>
      <c r="H8" s="3" t="n">
        <v>786</v>
      </c>
      <c r="I8" s="3" t="n">
        <v>55</v>
      </c>
      <c r="J8" s="3" t="n">
        <v>43230</v>
      </c>
      <c r="K8" s="3" t="n">
        <v>35</v>
      </c>
      <c r="L8" s="3" t="n">
        <v>10</v>
      </c>
      <c r="M8" s="3" t="n">
        <v>946</v>
      </c>
      <c r="N8" s="3" t="n">
        <v>1216</v>
      </c>
      <c r="O8" s="3" t="n">
        <v>-430</v>
      </c>
      <c r="P8" s="3" t="inlineStr">
        <is>
          <t>Below Reorder Point</t>
        </is>
      </c>
    </row>
    <row r="9">
      <c r="A9" s="3" t="n">
        <v>6</v>
      </c>
      <c r="B9" s="3" t="inlineStr">
        <is>
          <t>Feb-2023</t>
        </is>
      </c>
      <c r="C9" s="3" t="inlineStr">
        <is>
          <t>Copper</t>
        </is>
      </c>
      <c r="D9" s="3" t="inlineStr">
        <is>
          <t>West</t>
        </is>
      </c>
      <c r="E9" s="3" t="n">
        <v>477</v>
      </c>
      <c r="F9" s="3" t="n">
        <v>676</v>
      </c>
      <c r="G9" s="3" t="n">
        <v>593</v>
      </c>
      <c r="H9" s="3" t="n">
        <v>560</v>
      </c>
      <c r="I9" s="3" t="n">
        <v>72</v>
      </c>
      <c r="J9" s="3" t="n">
        <v>40320</v>
      </c>
      <c r="K9" s="3" t="n">
        <v>28</v>
      </c>
      <c r="L9" s="3" t="n">
        <v>8</v>
      </c>
      <c r="M9" s="3" t="n">
        <v>553</v>
      </c>
      <c r="N9" s="3" t="n">
        <v>711</v>
      </c>
      <c r="O9" s="3" t="n">
        <v>-151</v>
      </c>
      <c r="P9" s="3" t="inlineStr">
        <is>
          <t>Below Reorder Point</t>
        </is>
      </c>
    </row>
    <row r="10">
      <c r="A10" s="3" t="n">
        <v>7</v>
      </c>
      <c r="B10" s="3" t="inlineStr">
        <is>
          <t>Mar-2023</t>
        </is>
      </c>
      <c r="C10" s="3" t="inlineStr">
        <is>
          <t>Steel</t>
        </is>
      </c>
      <c r="D10" s="3" t="inlineStr">
        <is>
          <t>North</t>
        </is>
      </c>
      <c r="E10" s="3" t="n">
        <v>855</v>
      </c>
      <c r="F10" s="3" t="n">
        <v>1164</v>
      </c>
      <c r="G10" s="3" t="n">
        <v>1018</v>
      </c>
      <c r="H10" s="3" t="n">
        <v>1001</v>
      </c>
      <c r="I10" s="3" t="n">
        <v>38</v>
      </c>
      <c r="J10" s="3" t="n">
        <v>38038</v>
      </c>
      <c r="K10" s="3" t="n">
        <v>42</v>
      </c>
      <c r="L10" s="3" t="n">
        <v>12</v>
      </c>
      <c r="M10" s="3" t="n">
        <v>1425</v>
      </c>
      <c r="N10" s="3" t="n">
        <v>1832</v>
      </c>
      <c r="O10" s="3" t="n">
        <v>-831</v>
      </c>
      <c r="P10" s="3" t="inlineStr">
        <is>
          <t>Below Reorder Point</t>
        </is>
      </c>
    </row>
    <row r="11">
      <c r="A11" s="3" t="n">
        <v>8</v>
      </c>
      <c r="B11" s="3" t="inlineStr">
        <is>
          <t>Mar-2023</t>
        </is>
      </c>
      <c r="C11" s="3" t="inlineStr">
        <is>
          <t>Aluminium</t>
        </is>
      </c>
      <c r="D11" s="3" t="inlineStr">
        <is>
          <t>South</t>
        </is>
      </c>
      <c r="E11" s="3" t="n">
        <v>642</v>
      </c>
      <c r="F11" s="3" t="n">
        <v>873</v>
      </c>
      <c r="G11" s="3" t="n">
        <v>757</v>
      </c>
      <c r="H11" s="3" t="n">
        <v>758</v>
      </c>
      <c r="I11" s="3" t="n">
        <v>55</v>
      </c>
      <c r="J11" s="3" t="n">
        <v>41690</v>
      </c>
      <c r="K11" s="3" t="n">
        <v>35</v>
      </c>
      <c r="L11" s="3" t="n">
        <v>10</v>
      </c>
      <c r="M11" s="3" t="n">
        <v>883</v>
      </c>
      <c r="N11" s="3" t="n">
        <v>1135</v>
      </c>
      <c r="O11" s="3" t="n">
        <v>-377</v>
      </c>
      <c r="P11" s="3" t="inlineStr">
        <is>
          <t>Below Reorder Point</t>
        </is>
      </c>
    </row>
    <row r="12">
      <c r="A12" s="3" t="n">
        <v>9</v>
      </c>
      <c r="B12" s="3" t="inlineStr">
        <is>
          <t>Mar-2023</t>
        </is>
      </c>
      <c r="C12" s="3" t="inlineStr">
        <is>
          <t>Copper</t>
        </is>
      </c>
      <c r="D12" s="3" t="inlineStr">
        <is>
          <t>West</t>
        </is>
      </c>
      <c r="E12" s="3" t="n">
        <v>463</v>
      </c>
      <c r="F12" s="3" t="n">
        <v>630</v>
      </c>
      <c r="G12" s="3" t="n">
        <v>553</v>
      </c>
      <c r="H12" s="3" t="n">
        <v>540</v>
      </c>
      <c r="I12" s="3" t="n">
        <v>72</v>
      </c>
      <c r="J12" s="3" t="n">
        <v>38880</v>
      </c>
      <c r="K12" s="3" t="n">
        <v>28</v>
      </c>
      <c r="L12" s="3" t="n">
        <v>8</v>
      </c>
      <c r="M12" s="3" t="n">
        <v>516</v>
      </c>
      <c r="N12" s="3" t="n">
        <v>663</v>
      </c>
      <c r="O12" s="3" t="n">
        <v>-123</v>
      </c>
      <c r="P12" s="3" t="inlineStr">
        <is>
          <t>Below Reorder Point</t>
        </is>
      </c>
    </row>
    <row r="13">
      <c r="A13" s="3" t="n">
        <v>10</v>
      </c>
      <c r="B13" s="3" t="inlineStr">
        <is>
          <t>Apr-2023</t>
        </is>
      </c>
      <c r="C13" s="3" t="inlineStr">
        <is>
          <t>Steel</t>
        </is>
      </c>
      <c r="D13" s="3" t="inlineStr">
        <is>
          <t>North</t>
        </is>
      </c>
      <c r="E13" s="3" t="n">
        <v>890</v>
      </c>
      <c r="F13" s="3" t="n">
        <v>1272</v>
      </c>
      <c r="G13" s="3" t="n">
        <v>1113</v>
      </c>
      <c r="H13" s="3" t="n">
        <v>1049</v>
      </c>
      <c r="I13" s="3" t="n">
        <v>38</v>
      </c>
      <c r="J13" s="3" t="n">
        <v>39862</v>
      </c>
      <c r="K13" s="3" t="n">
        <v>42</v>
      </c>
      <c r="L13" s="3" t="n">
        <v>12</v>
      </c>
      <c r="M13" s="3" t="n">
        <v>1558</v>
      </c>
      <c r="N13" s="3" t="n">
        <v>2003</v>
      </c>
      <c r="O13" s="3" t="n">
        <v>-954</v>
      </c>
      <c r="P13" s="3" t="inlineStr">
        <is>
          <t>Below Reorder Point</t>
        </is>
      </c>
    </row>
    <row r="14">
      <c r="A14" s="3" t="n">
        <v>11</v>
      </c>
      <c r="B14" s="3" t="inlineStr">
        <is>
          <t>Apr-2023</t>
        </is>
      </c>
      <c r="C14" s="3" t="inlineStr">
        <is>
          <t>Aluminium</t>
        </is>
      </c>
      <c r="D14" s="3" t="inlineStr">
        <is>
          <t>South</t>
        </is>
      </c>
      <c r="E14" s="3" t="n">
        <v>667</v>
      </c>
      <c r="F14" s="3" t="n">
        <v>954</v>
      </c>
      <c r="G14" s="3" t="n">
        <v>827</v>
      </c>
      <c r="H14" s="3" t="n">
        <v>794</v>
      </c>
      <c r="I14" s="3" t="n">
        <v>55</v>
      </c>
      <c r="J14" s="3" t="n">
        <v>43670</v>
      </c>
      <c r="K14" s="3" t="n">
        <v>35</v>
      </c>
      <c r="L14" s="3" t="n">
        <v>10</v>
      </c>
      <c r="M14" s="3" t="n">
        <v>965</v>
      </c>
      <c r="N14" s="3" t="n">
        <v>1241</v>
      </c>
      <c r="O14" s="3" t="n">
        <v>-447</v>
      </c>
      <c r="P14" s="3" t="inlineStr">
        <is>
          <t>Below Reorder Point</t>
        </is>
      </c>
    </row>
    <row r="15">
      <c r="A15" s="3" t="n">
        <v>12</v>
      </c>
      <c r="B15" s="3" t="inlineStr">
        <is>
          <t>Apr-2023</t>
        </is>
      </c>
      <c r="C15" s="3" t="inlineStr">
        <is>
          <t>Copper</t>
        </is>
      </c>
      <c r="D15" s="3" t="inlineStr">
        <is>
          <t>West</t>
        </is>
      </c>
      <c r="E15" s="3" t="n">
        <v>482</v>
      </c>
      <c r="F15" s="3" t="n">
        <v>689</v>
      </c>
      <c r="G15" s="3" t="n">
        <v>604</v>
      </c>
      <c r="H15" s="3" t="n">
        <v>567</v>
      </c>
      <c r="I15" s="3" t="n">
        <v>72</v>
      </c>
      <c r="J15" s="3" t="n">
        <v>40824</v>
      </c>
      <c r="K15" s="3" t="n">
        <v>28</v>
      </c>
      <c r="L15" s="3" t="n">
        <v>8</v>
      </c>
      <c r="M15" s="3" t="n">
        <v>564</v>
      </c>
      <c r="N15" s="3" t="n">
        <v>725</v>
      </c>
      <c r="O15" s="3" t="n">
        <v>-158</v>
      </c>
      <c r="P15" s="3" t="inlineStr">
        <is>
          <t>Below Reorder Point</t>
        </is>
      </c>
    </row>
    <row r="16">
      <c r="A16" s="3" t="n">
        <v>13</v>
      </c>
      <c r="B16" s="3" t="inlineStr">
        <is>
          <t>May-2023</t>
        </is>
      </c>
      <c r="C16" s="3" t="inlineStr">
        <is>
          <t>Steel</t>
        </is>
      </c>
      <c r="D16" s="3" t="inlineStr">
        <is>
          <t>North</t>
        </is>
      </c>
      <c r="E16" s="3" t="n">
        <v>899</v>
      </c>
      <c r="F16" s="3" t="n">
        <v>1296</v>
      </c>
      <c r="G16" s="3" t="n">
        <v>1134</v>
      </c>
      <c r="H16" s="3" t="n">
        <v>1061</v>
      </c>
      <c r="I16" s="3" t="n">
        <v>38</v>
      </c>
      <c r="J16" s="3" t="n">
        <v>40318</v>
      </c>
      <c r="K16" s="3" t="n">
        <v>42</v>
      </c>
      <c r="L16" s="3" t="n">
        <v>12</v>
      </c>
      <c r="M16" s="3" t="n">
        <v>1588</v>
      </c>
      <c r="N16" s="3" t="n">
        <v>2042</v>
      </c>
      <c r="O16" s="3" t="n">
        <v>-981</v>
      </c>
      <c r="P16" s="3" t="inlineStr">
        <is>
          <t>Below Reorder Point</t>
        </is>
      </c>
    </row>
    <row r="17">
      <c r="A17" s="3" t="n">
        <v>14</v>
      </c>
      <c r="B17" s="3" t="inlineStr">
        <is>
          <t>May-2023</t>
        </is>
      </c>
      <c r="C17" s="3" t="inlineStr">
        <is>
          <t>Aluminium</t>
        </is>
      </c>
      <c r="D17" s="3" t="inlineStr">
        <is>
          <t>South</t>
        </is>
      </c>
      <c r="E17" s="3" t="n">
        <v>674</v>
      </c>
      <c r="F17" s="3" t="n">
        <v>972</v>
      </c>
      <c r="G17" s="3" t="n">
        <v>842</v>
      </c>
      <c r="H17" s="3" t="n">
        <v>804</v>
      </c>
      <c r="I17" s="3" t="n">
        <v>55</v>
      </c>
      <c r="J17" s="3" t="n">
        <v>44220</v>
      </c>
      <c r="K17" s="3" t="n">
        <v>35</v>
      </c>
      <c r="L17" s="3" t="n">
        <v>10</v>
      </c>
      <c r="M17" s="3" t="n">
        <v>982</v>
      </c>
      <c r="N17" s="3" t="n">
        <v>1263</v>
      </c>
      <c r="O17" s="3" t="n">
        <v>-459</v>
      </c>
      <c r="P17" s="3" t="inlineStr">
        <is>
          <t>Below Reorder Point</t>
        </is>
      </c>
    </row>
    <row r="18">
      <c r="A18" s="3" t="n">
        <v>15</v>
      </c>
      <c r="B18" s="3" t="inlineStr">
        <is>
          <t>May-2023</t>
        </is>
      </c>
      <c r="C18" s="3" t="inlineStr">
        <is>
          <t>Copper</t>
        </is>
      </c>
      <c r="D18" s="3" t="inlineStr">
        <is>
          <t>West</t>
        </is>
      </c>
      <c r="E18" s="3" t="n">
        <v>487</v>
      </c>
      <c r="F18" s="3" t="n">
        <v>702</v>
      </c>
      <c r="G18" s="3" t="n">
        <v>616</v>
      </c>
      <c r="H18" s="3" t="n">
        <v>573</v>
      </c>
      <c r="I18" s="3" t="n">
        <v>72</v>
      </c>
      <c r="J18" s="3" t="n">
        <v>41256</v>
      </c>
      <c r="K18" s="3" t="n">
        <v>28</v>
      </c>
      <c r="L18" s="3" t="n">
        <v>8</v>
      </c>
      <c r="M18" s="3" t="n">
        <v>575</v>
      </c>
      <c r="N18" s="3" t="n">
        <v>739</v>
      </c>
      <c r="O18" s="3" t="n">
        <v>-166</v>
      </c>
      <c r="P18" s="3" t="inlineStr">
        <is>
          <t>Below Reorder Point</t>
        </is>
      </c>
    </row>
    <row r="19">
      <c r="A19" s="3" t="n">
        <v>16</v>
      </c>
      <c r="B19" s="3" t="inlineStr">
        <is>
          <t>Jun-2023</t>
        </is>
      </c>
      <c r="C19" s="3" t="inlineStr">
        <is>
          <t>Steel</t>
        </is>
      </c>
      <c r="D19" s="3" t="inlineStr">
        <is>
          <t>North</t>
        </is>
      </c>
      <c r="E19" s="3" t="n">
        <v>881</v>
      </c>
      <c r="F19" s="3" t="n">
        <v>1236</v>
      </c>
      <c r="G19" s="3" t="n">
        <v>1082</v>
      </c>
      <c r="H19" s="3" t="n">
        <v>1035</v>
      </c>
      <c r="I19" s="3" t="n">
        <v>38</v>
      </c>
      <c r="J19" s="3" t="n">
        <v>39330</v>
      </c>
      <c r="K19" s="3" t="n">
        <v>42</v>
      </c>
      <c r="L19" s="3" t="n">
        <v>12</v>
      </c>
      <c r="M19" s="3" t="n">
        <v>1515</v>
      </c>
      <c r="N19" s="3" t="n">
        <v>1948</v>
      </c>
      <c r="O19" s="3" t="n">
        <v>-913</v>
      </c>
      <c r="P19" s="3" t="inlineStr">
        <is>
          <t>Below Reorder Point</t>
        </is>
      </c>
    </row>
    <row r="20">
      <c r="A20" s="3" t="n">
        <v>17</v>
      </c>
      <c r="B20" s="3" t="inlineStr">
        <is>
          <t>Jun-2023</t>
        </is>
      </c>
      <c r="C20" s="3" t="inlineStr">
        <is>
          <t>Aluminium</t>
        </is>
      </c>
      <c r="D20" s="3" t="inlineStr">
        <is>
          <t>South</t>
        </is>
      </c>
      <c r="E20" s="3" t="n">
        <v>661</v>
      </c>
      <c r="F20" s="3" t="n">
        <v>927</v>
      </c>
      <c r="G20" s="3" t="n">
        <v>803</v>
      </c>
      <c r="H20" s="3" t="n">
        <v>785</v>
      </c>
      <c r="I20" s="3" t="n">
        <v>55</v>
      </c>
      <c r="J20" s="3" t="n">
        <v>43175</v>
      </c>
      <c r="K20" s="3" t="n">
        <v>35</v>
      </c>
      <c r="L20" s="3" t="n">
        <v>10</v>
      </c>
      <c r="M20" s="3" t="n">
        <v>937</v>
      </c>
      <c r="N20" s="3" t="n">
        <v>1205</v>
      </c>
      <c r="O20" s="3" t="n">
        <v>-420</v>
      </c>
      <c r="P20" s="3" t="inlineStr">
        <is>
          <t>Below Reorder Point</t>
        </is>
      </c>
    </row>
    <row r="21">
      <c r="A21" s="3" t="n">
        <v>18</v>
      </c>
      <c r="B21" s="3" t="inlineStr">
        <is>
          <t>Jun-2023</t>
        </is>
      </c>
      <c r="C21" s="3" t="inlineStr">
        <is>
          <t>Copper</t>
        </is>
      </c>
      <c r="D21" s="3" t="inlineStr">
        <is>
          <t>West</t>
        </is>
      </c>
      <c r="E21" s="3" t="n">
        <v>477</v>
      </c>
      <c r="F21" s="3" t="n">
        <v>670</v>
      </c>
      <c r="G21" s="3" t="n">
        <v>587</v>
      </c>
      <c r="H21" s="3" t="n">
        <v>560</v>
      </c>
      <c r="I21" s="3" t="n">
        <v>72</v>
      </c>
      <c r="J21" s="3" t="n">
        <v>40320</v>
      </c>
      <c r="K21" s="3" t="n">
        <v>28</v>
      </c>
      <c r="L21" s="3" t="n">
        <v>8</v>
      </c>
      <c r="M21" s="3" t="n">
        <v>548</v>
      </c>
      <c r="N21" s="3" t="n">
        <v>705</v>
      </c>
      <c r="O21" s="3" t="n">
        <v>-145</v>
      </c>
      <c r="P21" s="3" t="inlineStr">
        <is>
          <t>Below Reorder 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  <col width="16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19" customWidth="1" min="10" max="10"/>
    <col width="24" customWidth="1" min="11" max="11"/>
  </cols>
  <sheetData>
    <row r="1">
      <c r="A1" s="1" t="inlineStr">
        <is>
          <t>Raw Material Summary</t>
        </is>
      </c>
    </row>
    <row r="2"/>
    <row r="3">
      <c r="A3" s="2" t="inlineStr">
        <is>
          <t>Raw_Material</t>
        </is>
      </c>
      <c r="B3" s="2" t="inlineStr">
        <is>
          <t>Opening_Inventory</t>
        </is>
      </c>
      <c r="C3" s="2" t="inlineStr">
        <is>
          <t>Purchases</t>
        </is>
      </c>
      <c r="D3" s="2" t="inlineStr">
        <is>
          <t>Material_Usage</t>
        </is>
      </c>
      <c r="E3" s="2" t="inlineStr">
        <is>
          <t>Closing_Inventory</t>
        </is>
      </c>
      <c r="F3" s="2" t="inlineStr">
        <is>
          <t>Inventory_Value</t>
        </is>
      </c>
      <c r="G3" s="2" t="inlineStr">
        <is>
          <t>Avg_Lead_Time_Days</t>
        </is>
      </c>
      <c r="H3" s="2" t="inlineStr">
        <is>
          <t>Avg_Lead_Time_Demand</t>
        </is>
      </c>
      <c r="I3" s="2" t="inlineStr">
        <is>
          <t>Avg_Reorder_Point</t>
        </is>
      </c>
      <c r="J3" s="2" t="inlineStr">
        <is>
          <t>Avg_Inventory_Gap</t>
        </is>
      </c>
      <c r="K3" s="2" t="inlineStr">
        <is>
          <t>Inventory_Turnover_Proxy</t>
        </is>
      </c>
    </row>
    <row r="4">
      <c r="A4" s="3" t="inlineStr">
        <is>
          <t>Aluminium</t>
        </is>
      </c>
      <c r="B4" s="3" t="n">
        <v>658.8333333333334</v>
      </c>
      <c r="C4" s="3" t="n">
        <v>5562</v>
      </c>
      <c r="D4" s="3" t="n">
        <v>4820</v>
      </c>
      <c r="E4" s="3" t="n">
        <v>782.5</v>
      </c>
      <c r="F4" s="3" t="n">
        <v>43037.5</v>
      </c>
      <c r="G4" s="3" t="n">
        <v>35</v>
      </c>
      <c r="H4" s="3" t="n">
        <v>937.1666666666666</v>
      </c>
      <c r="I4" s="3" t="n">
        <v>1205</v>
      </c>
      <c r="J4" s="3" t="n">
        <v>-422.5</v>
      </c>
      <c r="K4" s="3" t="n">
        <v>6.159744408945687</v>
      </c>
    </row>
    <row r="5">
      <c r="A5" s="3" t="inlineStr">
        <is>
          <t>Copper</t>
        </is>
      </c>
      <c r="B5" s="3" t="n">
        <v>475.6666666666667</v>
      </c>
      <c r="C5" s="3" t="n">
        <v>4017</v>
      </c>
      <c r="D5" s="3" t="n">
        <v>3523</v>
      </c>
      <c r="E5" s="3" t="n">
        <v>558</v>
      </c>
      <c r="F5" s="3" t="n">
        <v>40176</v>
      </c>
      <c r="G5" s="3" t="n">
        <v>28</v>
      </c>
      <c r="H5" s="3" t="n">
        <v>548</v>
      </c>
      <c r="I5" s="3" t="n">
        <v>704.5</v>
      </c>
      <c r="J5" s="3" t="n">
        <v>-146.5</v>
      </c>
      <c r="K5" s="3" t="n">
        <v>6.313620071684587</v>
      </c>
    </row>
    <row r="6">
      <c r="A6" s="3" t="inlineStr">
        <is>
          <t>Steel</t>
        </is>
      </c>
      <c r="B6" s="3" t="n">
        <v>878.3333333333334</v>
      </c>
      <c r="C6" s="3" t="n">
        <v>7416</v>
      </c>
      <c r="D6" s="3" t="n">
        <v>6489</v>
      </c>
      <c r="E6" s="3" t="n">
        <v>1032.833333333333</v>
      </c>
      <c r="F6" s="3" t="n">
        <v>39247.66666666666</v>
      </c>
      <c r="G6" s="3" t="n">
        <v>42</v>
      </c>
      <c r="H6" s="3" t="n">
        <v>1514.166666666667</v>
      </c>
      <c r="I6" s="3" t="n">
        <v>1946.833333333333</v>
      </c>
      <c r="J6" s="3" t="n">
        <v>-914</v>
      </c>
      <c r="K6" s="3" t="n">
        <v>6.28271744392448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9" customWidth="1" min="4" max="4"/>
    <col width="17" customWidth="1" min="5" max="5"/>
    <col width="18" customWidth="1" min="6" max="6"/>
    <col width="15" customWidth="1" min="7" max="7"/>
  </cols>
  <sheetData>
    <row r="1">
      <c r="A1" s="1" t="inlineStr">
        <is>
          <t>Monthly Raw Material Inventory Summary</t>
        </is>
      </c>
    </row>
    <row r="2"/>
    <row r="3">
      <c r="A3" s="2" t="inlineStr">
        <is>
          <t>Month</t>
        </is>
      </c>
      <c r="B3" s="2" t="inlineStr">
        <is>
          <t>Purchases</t>
        </is>
      </c>
      <c r="C3" s="2" t="inlineStr">
        <is>
          <t>Material_Usage</t>
        </is>
      </c>
      <c r="D3" s="2" t="inlineStr">
        <is>
          <t>Closing_Inventory</t>
        </is>
      </c>
      <c r="E3" s="2" t="inlineStr">
        <is>
          <t>Inventory_Value</t>
        </is>
      </c>
      <c r="F3" s="2" t="inlineStr">
        <is>
          <t>Lead_Time_Demand</t>
        </is>
      </c>
      <c r="G3" s="2" t="inlineStr">
        <is>
          <t>Reorder_Point</t>
        </is>
      </c>
    </row>
    <row r="4">
      <c r="A4" s="3" t="inlineStr">
        <is>
          <t>Jan-2023</t>
        </is>
      </c>
      <c r="B4" s="3" t="n">
        <v>2750</v>
      </c>
      <c r="C4" s="3" t="n">
        <v>2400</v>
      </c>
      <c r="D4" s="3" t="n">
        <v>2330</v>
      </c>
      <c r="E4" s="3" t="n">
        <v>120228</v>
      </c>
      <c r="F4" s="3" t="n">
        <v>2912</v>
      </c>
      <c r="G4" s="3" t="n">
        <v>3744</v>
      </c>
    </row>
    <row r="5">
      <c r="A5" s="3" t="inlineStr">
        <is>
          <t>Feb-2023</t>
        </is>
      </c>
      <c r="B5" s="3" t="n">
        <v>2860</v>
      </c>
      <c r="C5" s="3" t="n">
        <v>2496</v>
      </c>
      <c r="D5" s="3" t="n">
        <v>2383</v>
      </c>
      <c r="E5" s="3" t="n">
        <v>122956</v>
      </c>
      <c r="F5" s="3" t="n">
        <v>3028</v>
      </c>
      <c r="G5" s="3" t="n">
        <v>3893</v>
      </c>
    </row>
    <row r="6">
      <c r="A6" s="3" t="inlineStr">
        <is>
          <t>Mar-2023</t>
        </is>
      </c>
      <c r="B6" s="3" t="n">
        <v>2667</v>
      </c>
      <c r="C6" s="3" t="n">
        <v>2328</v>
      </c>
      <c r="D6" s="3" t="n">
        <v>2299</v>
      </c>
      <c r="E6" s="3" t="n">
        <v>118608</v>
      </c>
      <c r="F6" s="3" t="n">
        <v>2824</v>
      </c>
      <c r="G6" s="3" t="n">
        <v>3630</v>
      </c>
    </row>
    <row r="7">
      <c r="A7" s="3" t="inlineStr">
        <is>
          <t>Apr-2023</t>
        </is>
      </c>
      <c r="B7" s="3" t="n">
        <v>2915</v>
      </c>
      <c r="C7" s="3" t="n">
        <v>2544</v>
      </c>
      <c r="D7" s="3" t="n">
        <v>2410</v>
      </c>
      <c r="E7" s="3" t="n">
        <v>124356</v>
      </c>
      <c r="F7" s="3" t="n">
        <v>3087</v>
      </c>
      <c r="G7" s="3" t="n">
        <v>3969</v>
      </c>
    </row>
    <row r="8">
      <c r="A8" s="3" t="inlineStr">
        <is>
          <t>May-2023</t>
        </is>
      </c>
      <c r="B8" s="3" t="n">
        <v>2970</v>
      </c>
      <c r="C8" s="3" t="n">
        <v>2592</v>
      </c>
      <c r="D8" s="3" t="n">
        <v>2438</v>
      </c>
      <c r="E8" s="3" t="n">
        <v>125794</v>
      </c>
      <c r="F8" s="3" t="n">
        <v>3145</v>
      </c>
      <c r="G8" s="3" t="n">
        <v>4044</v>
      </c>
    </row>
    <row r="9">
      <c r="A9" s="3" t="inlineStr">
        <is>
          <t>Jun-2023</t>
        </is>
      </c>
      <c r="B9" s="3" t="n">
        <v>2833</v>
      </c>
      <c r="C9" s="3" t="n">
        <v>2472</v>
      </c>
      <c r="D9" s="3" t="n">
        <v>2380</v>
      </c>
      <c r="E9" s="3" t="n">
        <v>122825</v>
      </c>
      <c r="F9" s="3" t="n">
        <v>3000</v>
      </c>
      <c r="G9" s="3" t="n">
        <v>3858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Regional Raw Material Inventory Summary</t>
        </is>
      </c>
    </row>
    <row r="2"/>
    <row r="3">
      <c r="A3" s="2" t="inlineStr">
        <is>
          <t>Region</t>
        </is>
      </c>
      <c r="B3" s="2" t="inlineStr">
        <is>
          <t>Purchases</t>
        </is>
      </c>
      <c r="C3" s="2" t="inlineStr">
        <is>
          <t>Material_Usage</t>
        </is>
      </c>
      <c r="D3" s="2" t="inlineStr">
        <is>
          <t>Closing_Inventory</t>
        </is>
      </c>
      <c r="E3" s="2" t="inlineStr">
        <is>
          <t>Inventory_Value</t>
        </is>
      </c>
      <c r="F3" s="2" t="inlineStr">
        <is>
          <t>Lead_Time_Demand</t>
        </is>
      </c>
      <c r="G3" s="2" t="inlineStr">
        <is>
          <t>Reorder_Point</t>
        </is>
      </c>
      <c r="H3" s="2" t="inlineStr">
        <is>
          <t>Inventory_Gap</t>
        </is>
      </c>
    </row>
    <row r="4">
      <c r="A4" s="3" t="inlineStr">
        <is>
          <t>North</t>
        </is>
      </c>
      <c r="B4" s="3" t="n">
        <v>7416</v>
      </c>
      <c r="C4" s="3" t="n">
        <v>6489</v>
      </c>
      <c r="D4" s="3" t="n">
        <v>1032.833333333333</v>
      </c>
      <c r="E4" s="3" t="n">
        <v>39247.66666666666</v>
      </c>
      <c r="F4" s="3" t="n">
        <v>1514.166666666667</v>
      </c>
      <c r="G4" s="3" t="n">
        <v>1946.833333333333</v>
      </c>
      <c r="H4" s="3" t="n">
        <v>-914</v>
      </c>
    </row>
    <row r="5">
      <c r="A5" s="3" t="inlineStr">
        <is>
          <t>South</t>
        </is>
      </c>
      <c r="B5" s="3" t="n">
        <v>5562</v>
      </c>
      <c r="C5" s="3" t="n">
        <v>4820</v>
      </c>
      <c r="D5" s="3" t="n">
        <v>782.5</v>
      </c>
      <c r="E5" s="3" t="n">
        <v>43037.5</v>
      </c>
      <c r="F5" s="3" t="n">
        <v>937.1666666666666</v>
      </c>
      <c r="G5" s="3" t="n">
        <v>1205</v>
      </c>
      <c r="H5" s="3" t="n">
        <v>-422.5</v>
      </c>
    </row>
    <row r="6">
      <c r="A6" s="3" t="inlineStr">
        <is>
          <t>West</t>
        </is>
      </c>
      <c r="B6" s="3" t="n">
        <v>4017</v>
      </c>
      <c r="C6" s="3" t="n">
        <v>3523</v>
      </c>
      <c r="D6" s="3" t="n">
        <v>558</v>
      </c>
      <c r="E6" s="3" t="n">
        <v>40176</v>
      </c>
      <c r="F6" s="3" t="n">
        <v>548</v>
      </c>
      <c r="G6" s="3" t="n">
        <v>704.5</v>
      </c>
      <c r="H6" s="3" t="n">
        <v>-146.5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6" customWidth="1" min="4" max="4"/>
    <col width="19" customWidth="1" min="5" max="5"/>
    <col width="17" customWidth="1" min="6" max="6"/>
    <col width="15" customWidth="1" min="7" max="7"/>
  </cols>
  <sheetData>
    <row r="1">
      <c r="A1" s="1" t="inlineStr">
        <is>
          <t>Material × Month Analysis</t>
        </is>
      </c>
    </row>
    <row r="2"/>
    <row r="3">
      <c r="A3" s="2" t="inlineStr">
        <is>
          <t>Month</t>
        </is>
      </c>
      <c r="B3" s="2" t="inlineStr">
        <is>
          <t>Raw_Material</t>
        </is>
      </c>
      <c r="C3" s="2" t="inlineStr">
        <is>
          <t>Purchases</t>
        </is>
      </c>
      <c r="D3" s="2" t="inlineStr">
        <is>
          <t>Material_Usage</t>
        </is>
      </c>
      <c r="E3" s="2" t="inlineStr">
        <is>
          <t>Closing_Inventory</t>
        </is>
      </c>
      <c r="F3" s="2" t="inlineStr">
        <is>
          <t>Inventory_Value</t>
        </is>
      </c>
      <c r="G3" s="2" t="inlineStr">
        <is>
          <t>Reorder_Point</t>
        </is>
      </c>
    </row>
    <row r="4">
      <c r="A4" s="3" t="inlineStr">
        <is>
          <t>Jan-2023</t>
        </is>
      </c>
      <c r="B4" s="3" t="inlineStr">
        <is>
          <t>Steel</t>
        </is>
      </c>
      <c r="C4" s="3" t="n">
        <v>1200</v>
      </c>
      <c r="D4" s="3" t="n">
        <v>1050</v>
      </c>
      <c r="E4" s="3" t="n">
        <v>1014</v>
      </c>
      <c r="F4" s="3" t="n">
        <v>38532</v>
      </c>
      <c r="G4" s="3" t="n">
        <v>1890</v>
      </c>
    </row>
    <row r="5">
      <c r="A5" s="3" t="inlineStr">
        <is>
          <t>Jan-2023</t>
        </is>
      </c>
      <c r="B5" s="3" t="inlineStr">
        <is>
          <t>Aluminium</t>
        </is>
      </c>
      <c r="C5" s="3" t="n">
        <v>900</v>
      </c>
      <c r="D5" s="3" t="n">
        <v>780</v>
      </c>
      <c r="E5" s="3" t="n">
        <v>768</v>
      </c>
      <c r="F5" s="3" t="n">
        <v>42240</v>
      </c>
      <c r="G5" s="3" t="n">
        <v>1170</v>
      </c>
    </row>
    <row r="6">
      <c r="A6" s="3" t="inlineStr">
        <is>
          <t>Jan-2023</t>
        </is>
      </c>
      <c r="B6" s="3" t="inlineStr">
        <is>
          <t>Copper</t>
        </is>
      </c>
      <c r="C6" s="3" t="n">
        <v>650</v>
      </c>
      <c r="D6" s="3" t="n">
        <v>570</v>
      </c>
      <c r="E6" s="3" t="n">
        <v>548</v>
      </c>
      <c r="F6" s="3" t="n">
        <v>39456</v>
      </c>
      <c r="G6" s="3" t="n">
        <v>684</v>
      </c>
    </row>
    <row r="7">
      <c r="A7" s="3" t="inlineStr">
        <is>
          <t>Feb-2023</t>
        </is>
      </c>
      <c r="B7" s="3" t="inlineStr">
        <is>
          <t>Steel</t>
        </is>
      </c>
      <c r="C7" s="3" t="n">
        <v>1248</v>
      </c>
      <c r="D7" s="3" t="n">
        <v>1092</v>
      </c>
      <c r="E7" s="3" t="n">
        <v>1037</v>
      </c>
      <c r="F7" s="3" t="n">
        <v>39406</v>
      </c>
      <c r="G7" s="3" t="n">
        <v>1966</v>
      </c>
    </row>
    <row r="8">
      <c r="A8" s="3" t="inlineStr">
        <is>
          <t>Feb-2023</t>
        </is>
      </c>
      <c r="B8" s="3" t="inlineStr">
        <is>
          <t>Aluminium</t>
        </is>
      </c>
      <c r="C8" s="3" t="n">
        <v>936</v>
      </c>
      <c r="D8" s="3" t="n">
        <v>811</v>
      </c>
      <c r="E8" s="3" t="n">
        <v>786</v>
      </c>
      <c r="F8" s="3" t="n">
        <v>43230</v>
      </c>
      <c r="G8" s="3" t="n">
        <v>1216</v>
      </c>
    </row>
    <row r="9">
      <c r="A9" s="3" t="inlineStr">
        <is>
          <t>Feb-2023</t>
        </is>
      </c>
      <c r="B9" s="3" t="inlineStr">
        <is>
          <t>Copper</t>
        </is>
      </c>
      <c r="C9" s="3" t="n">
        <v>676</v>
      </c>
      <c r="D9" s="3" t="n">
        <v>593</v>
      </c>
      <c r="E9" s="3" t="n">
        <v>560</v>
      </c>
      <c r="F9" s="3" t="n">
        <v>40320</v>
      </c>
      <c r="G9" s="3" t="n">
        <v>711</v>
      </c>
    </row>
    <row r="10">
      <c r="A10" s="3" t="inlineStr">
        <is>
          <t>Mar-2023</t>
        </is>
      </c>
      <c r="B10" s="3" t="inlineStr">
        <is>
          <t>Steel</t>
        </is>
      </c>
      <c r="C10" s="3" t="n">
        <v>1164</v>
      </c>
      <c r="D10" s="3" t="n">
        <v>1018</v>
      </c>
      <c r="E10" s="3" t="n">
        <v>1001</v>
      </c>
      <c r="F10" s="3" t="n">
        <v>38038</v>
      </c>
      <c r="G10" s="3" t="n">
        <v>1832</v>
      </c>
    </row>
    <row r="11">
      <c r="A11" s="3" t="inlineStr">
        <is>
          <t>Mar-2023</t>
        </is>
      </c>
      <c r="B11" s="3" t="inlineStr">
        <is>
          <t>Aluminium</t>
        </is>
      </c>
      <c r="C11" s="3" t="n">
        <v>873</v>
      </c>
      <c r="D11" s="3" t="n">
        <v>757</v>
      </c>
      <c r="E11" s="3" t="n">
        <v>758</v>
      </c>
      <c r="F11" s="3" t="n">
        <v>41690</v>
      </c>
      <c r="G11" s="3" t="n">
        <v>1135</v>
      </c>
    </row>
    <row r="12">
      <c r="A12" s="3" t="inlineStr">
        <is>
          <t>Mar-2023</t>
        </is>
      </c>
      <c r="B12" s="3" t="inlineStr">
        <is>
          <t>Copper</t>
        </is>
      </c>
      <c r="C12" s="3" t="n">
        <v>630</v>
      </c>
      <c r="D12" s="3" t="n">
        <v>553</v>
      </c>
      <c r="E12" s="3" t="n">
        <v>540</v>
      </c>
      <c r="F12" s="3" t="n">
        <v>38880</v>
      </c>
      <c r="G12" s="3" t="n">
        <v>663</v>
      </c>
    </row>
    <row r="13">
      <c r="A13" s="3" t="inlineStr">
        <is>
          <t>Apr-2023</t>
        </is>
      </c>
      <c r="B13" s="3" t="inlineStr">
        <is>
          <t>Steel</t>
        </is>
      </c>
      <c r="C13" s="3" t="n">
        <v>1272</v>
      </c>
      <c r="D13" s="3" t="n">
        <v>1113</v>
      </c>
      <c r="E13" s="3" t="n">
        <v>1049</v>
      </c>
      <c r="F13" s="3" t="n">
        <v>39862</v>
      </c>
      <c r="G13" s="3" t="n">
        <v>2003</v>
      </c>
    </row>
    <row r="14">
      <c r="A14" s="3" t="inlineStr">
        <is>
          <t>Apr-2023</t>
        </is>
      </c>
      <c r="B14" s="3" t="inlineStr">
        <is>
          <t>Aluminium</t>
        </is>
      </c>
      <c r="C14" s="3" t="n">
        <v>954</v>
      </c>
      <c r="D14" s="3" t="n">
        <v>827</v>
      </c>
      <c r="E14" s="3" t="n">
        <v>794</v>
      </c>
      <c r="F14" s="3" t="n">
        <v>43670</v>
      </c>
      <c r="G14" s="3" t="n">
        <v>1241</v>
      </c>
    </row>
    <row r="15">
      <c r="A15" s="3" t="inlineStr">
        <is>
          <t>Apr-2023</t>
        </is>
      </c>
      <c r="B15" s="3" t="inlineStr">
        <is>
          <t>Copper</t>
        </is>
      </c>
      <c r="C15" s="3" t="n">
        <v>689</v>
      </c>
      <c r="D15" s="3" t="n">
        <v>604</v>
      </c>
      <c r="E15" s="3" t="n">
        <v>567</v>
      </c>
      <c r="F15" s="3" t="n">
        <v>40824</v>
      </c>
      <c r="G15" s="3" t="n">
        <v>725</v>
      </c>
    </row>
    <row r="16">
      <c r="A16" s="3" t="inlineStr">
        <is>
          <t>May-2023</t>
        </is>
      </c>
      <c r="B16" s="3" t="inlineStr">
        <is>
          <t>Steel</t>
        </is>
      </c>
      <c r="C16" s="3" t="n">
        <v>1296</v>
      </c>
      <c r="D16" s="3" t="n">
        <v>1134</v>
      </c>
      <c r="E16" s="3" t="n">
        <v>1061</v>
      </c>
      <c r="F16" s="3" t="n">
        <v>40318</v>
      </c>
      <c r="G16" s="3" t="n">
        <v>2042</v>
      </c>
    </row>
    <row r="17">
      <c r="A17" s="3" t="inlineStr">
        <is>
          <t>May-2023</t>
        </is>
      </c>
      <c r="B17" s="3" t="inlineStr">
        <is>
          <t>Aluminium</t>
        </is>
      </c>
      <c r="C17" s="3" t="n">
        <v>972</v>
      </c>
      <c r="D17" s="3" t="n">
        <v>842</v>
      </c>
      <c r="E17" s="3" t="n">
        <v>804</v>
      </c>
      <c r="F17" s="3" t="n">
        <v>44220</v>
      </c>
      <c r="G17" s="3" t="n">
        <v>1263</v>
      </c>
    </row>
    <row r="18">
      <c r="A18" s="3" t="inlineStr">
        <is>
          <t>May-2023</t>
        </is>
      </c>
      <c r="B18" s="3" t="inlineStr">
        <is>
          <t>Copper</t>
        </is>
      </c>
      <c r="C18" s="3" t="n">
        <v>702</v>
      </c>
      <c r="D18" s="3" t="n">
        <v>616</v>
      </c>
      <c r="E18" s="3" t="n">
        <v>573</v>
      </c>
      <c r="F18" s="3" t="n">
        <v>41256</v>
      </c>
      <c r="G18" s="3" t="n">
        <v>739</v>
      </c>
    </row>
    <row r="19">
      <c r="A19" s="3" t="inlineStr">
        <is>
          <t>Jun-2023</t>
        </is>
      </c>
      <c r="B19" s="3" t="inlineStr">
        <is>
          <t>Steel</t>
        </is>
      </c>
      <c r="C19" s="3" t="n">
        <v>1236</v>
      </c>
      <c r="D19" s="3" t="n">
        <v>1082</v>
      </c>
      <c r="E19" s="3" t="n">
        <v>1035</v>
      </c>
      <c r="F19" s="3" t="n">
        <v>39330</v>
      </c>
      <c r="G19" s="3" t="n">
        <v>1948</v>
      </c>
    </row>
    <row r="20">
      <c r="A20" s="3" t="inlineStr">
        <is>
          <t>Jun-2023</t>
        </is>
      </c>
      <c r="B20" s="3" t="inlineStr">
        <is>
          <t>Aluminium</t>
        </is>
      </c>
      <c r="C20" s="3" t="n">
        <v>927</v>
      </c>
      <c r="D20" s="3" t="n">
        <v>803</v>
      </c>
      <c r="E20" s="3" t="n">
        <v>785</v>
      </c>
      <c r="F20" s="3" t="n">
        <v>43175</v>
      </c>
      <c r="G20" s="3" t="n">
        <v>1205</v>
      </c>
    </row>
    <row r="21">
      <c r="A21" s="3" t="inlineStr">
        <is>
          <t>Jun-2023</t>
        </is>
      </c>
      <c r="B21" s="3" t="inlineStr">
        <is>
          <t>Copper</t>
        </is>
      </c>
      <c r="C21" s="3" t="n">
        <v>670</v>
      </c>
      <c r="D21" s="3" t="n">
        <v>587</v>
      </c>
      <c r="E21" s="3" t="n">
        <v>560</v>
      </c>
      <c r="F21" s="3" t="n">
        <v>40320</v>
      </c>
      <c r="G21" s="3" t="n">
        <v>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4" t="inlineStr">
        <is>
          <t>Raw Material</t>
        </is>
      </c>
      <c r="B1" s="4" t="inlineStr">
        <is>
          <t>Average Daily Usage</t>
        </is>
      </c>
      <c r="C1" s="4" t="inlineStr">
        <is>
          <t>Average Lead Time</t>
        </is>
      </c>
      <c r="D1" s="4" t="inlineStr">
        <is>
          <t>Lead-Time Demand</t>
        </is>
      </c>
      <c r="E1" s="4" t="inlineStr">
        <is>
          <t>Safety Stock</t>
        </is>
      </c>
      <c r="F1" s="4" t="inlineStr">
        <is>
          <t>Reorder Point</t>
        </is>
      </c>
      <c r="G1" s="4" t="inlineStr">
        <is>
          <t>Average Closing Inventory</t>
        </is>
      </c>
      <c r="H1" s="4" t="inlineStr">
        <is>
          <t>Inventory Gap</t>
        </is>
      </c>
      <c r="I1" s="4" t="inlineStr">
        <is>
          <t>Status</t>
        </is>
      </c>
    </row>
    <row r="2">
      <c r="A2" s="3" t="inlineStr">
        <is>
          <t>Steel</t>
        </is>
      </c>
      <c r="B2" s="3">
        <f>AVERAGEIF(Raw_Material_Data!$C:$C,A2,Raw_Material_Data!$G:$G)/30</f>
        <v/>
      </c>
      <c r="C2" s="3">
        <f>AVERAGEIF(Raw_Material_Data!$C:$C,A2,Raw_Material_Data!$K:$K)</f>
        <v/>
      </c>
      <c r="D2" s="3">
        <f>B2*C2</f>
        <v/>
      </c>
      <c r="E2" s="3">
        <f>AVERAGEIF(Raw_Material_Data!$C:$C,A2,Raw_Material_Data!$L:$L)*B2</f>
        <v/>
      </c>
      <c r="F2" s="3">
        <f>D2+E2</f>
        <v/>
      </c>
      <c r="G2" s="3">
        <f>AVERAGEIF(Raw_Material_Data!$C:$C,A2,Raw_Material_Data!$H:$H)</f>
        <v/>
      </c>
      <c r="H2" s="3">
        <f>G2-F2</f>
        <v/>
      </c>
      <c r="I2" s="3">
        <f>IF(H2&lt;0,"Below Reorder Point","At/Above Reorder Point")</f>
        <v/>
      </c>
    </row>
    <row r="3">
      <c r="A3" s="3" t="inlineStr">
        <is>
          <t>Aluminium</t>
        </is>
      </c>
      <c r="B3" s="3">
        <f>AVERAGEIF(Raw_Material_Data!$C:$C,A3,Raw_Material_Data!$G:$G)/30</f>
        <v/>
      </c>
      <c r="C3" s="3">
        <f>AVERAGEIF(Raw_Material_Data!$C:$C,A3,Raw_Material_Data!$K:$K)</f>
        <v/>
      </c>
      <c r="D3" s="3">
        <f>B3*C3</f>
        <v/>
      </c>
      <c r="E3" s="3">
        <f>AVERAGEIF(Raw_Material_Data!$C:$C,A3,Raw_Material_Data!$L:$L)*B3</f>
        <v/>
      </c>
      <c r="F3" s="3">
        <f>D3+E3</f>
        <v/>
      </c>
      <c r="G3" s="3">
        <f>AVERAGEIF(Raw_Material_Data!$C:$C,A3,Raw_Material_Data!$H:$H)</f>
        <v/>
      </c>
      <c r="H3" s="3">
        <f>G3-F3</f>
        <v/>
      </c>
      <c r="I3" s="3">
        <f>IF(H3&lt;0,"Below Reorder Point","At/Above Reorder Point")</f>
        <v/>
      </c>
    </row>
    <row r="4">
      <c r="A4" s="3" t="inlineStr">
        <is>
          <t>Copper</t>
        </is>
      </c>
      <c r="B4" s="3">
        <f>AVERAGEIF(Raw_Material_Data!$C:$C,A4,Raw_Material_Data!$G:$G)/30</f>
        <v/>
      </c>
      <c r="C4" s="3">
        <f>AVERAGEIF(Raw_Material_Data!$C:$C,A4,Raw_Material_Data!$K:$K)</f>
        <v/>
      </c>
      <c r="D4" s="3">
        <f>B4*C4</f>
        <v/>
      </c>
      <c r="E4" s="3">
        <f>AVERAGEIF(Raw_Material_Data!$C:$C,A4,Raw_Material_Data!$L:$L)*B4</f>
        <v/>
      </c>
      <c r="F4" s="3">
        <f>D4+E4</f>
        <v/>
      </c>
      <c r="G4" s="3">
        <f>AVERAGEIF(Raw_Material_Data!$C:$C,A4,Raw_Material_Data!$H:$H)</f>
        <v/>
      </c>
      <c r="H4" s="3">
        <f>G4-F4</f>
        <v/>
      </c>
      <c r="I4" s="3">
        <f>IF(H4&lt;0,"Below Reorder Point","At/Above Reorder Point")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</cols>
  <sheetData>
    <row r="1">
      <c r="A1" s="1" t="inlineStr">
        <is>
          <t>Raw Material Inventory Presentation Flow</t>
        </is>
      </c>
    </row>
    <row r="2"/>
    <row r="3">
      <c r="A3" s="2" t="inlineStr">
        <is>
          <t>Step</t>
        </is>
      </c>
      <c r="B3" s="2" t="inlineStr">
        <is>
          <t>Presentation_Stage</t>
        </is>
      </c>
      <c r="C3" s="2" t="inlineStr">
        <is>
          <t>Key_Output</t>
        </is>
      </c>
    </row>
    <row r="4">
      <c r="A4" s="3" t="n">
        <v>1</v>
      </c>
      <c r="B4" s="3" t="inlineStr">
        <is>
          <t>Business Context</t>
        </is>
      </c>
      <c r="C4" s="3" t="inlineStr">
        <is>
          <t>Why raw-material inventory matters</t>
        </is>
      </c>
    </row>
    <row r="5">
      <c r="A5" s="3" t="n">
        <v>2</v>
      </c>
      <c r="B5" s="3" t="inlineStr">
        <is>
          <t>Data Review</t>
        </is>
      </c>
      <c r="C5" s="3" t="inlineStr">
        <is>
          <t>Check material, region and period fields</t>
        </is>
      </c>
    </row>
    <row r="6">
      <c r="A6" s="3" t="n">
        <v>3</v>
      </c>
      <c r="B6" s="3" t="inlineStr">
        <is>
          <t>Inventory Position</t>
        </is>
      </c>
      <c r="C6" s="3" t="inlineStr">
        <is>
          <t>Opening and closing inventory</t>
        </is>
      </c>
    </row>
    <row r="7">
      <c r="A7" s="3" t="n">
        <v>4</v>
      </c>
      <c r="B7" s="3" t="inlineStr">
        <is>
          <t>Usage &amp; Purchases</t>
        </is>
      </c>
      <c r="C7" s="3" t="inlineStr">
        <is>
          <t>Compare purchases with material usage</t>
        </is>
      </c>
    </row>
    <row r="8">
      <c r="A8" s="3" t="n">
        <v>5</v>
      </c>
      <c r="B8" s="3" t="inlineStr">
        <is>
          <t>Lead-Time Analysis</t>
        </is>
      </c>
      <c r="C8" s="3" t="inlineStr">
        <is>
          <t>Estimate demand during lead time</t>
        </is>
      </c>
    </row>
    <row r="9">
      <c r="A9" s="3" t="n">
        <v>6</v>
      </c>
      <c r="B9" s="3" t="inlineStr">
        <is>
          <t>Reorder Analysis</t>
        </is>
      </c>
      <c r="C9" s="3" t="inlineStr">
        <is>
          <t>Compare closing inventory with reorder point</t>
        </is>
      </c>
    </row>
    <row r="10">
      <c r="A10" s="3" t="n">
        <v>7</v>
      </c>
      <c r="B10" s="3" t="inlineStr">
        <is>
          <t>Risk &amp; Insights</t>
        </is>
      </c>
      <c r="C10" s="3" t="inlineStr">
        <is>
          <t>Identify potential shortage or excess signals</t>
        </is>
      </c>
    </row>
    <row r="11">
      <c r="A11" s="3" t="n">
        <v>8</v>
      </c>
      <c r="B11" s="3" t="inlineStr">
        <is>
          <t>Management Actions</t>
        </is>
      </c>
      <c r="C11" s="3" t="inlineStr">
        <is>
          <t>Prioritize replenishment and monitoring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Presentation Questions</t>
        </is>
      </c>
    </row>
    <row r="2"/>
    <row r="3">
      <c r="A3" s="2" t="inlineStr">
        <is>
          <t>Question</t>
        </is>
      </c>
    </row>
    <row r="4">
      <c r="A4" s="3" t="inlineStr">
        <is>
          <t>Which raw material has the highest average closing inventory?</t>
        </is>
      </c>
    </row>
    <row r="5">
      <c r="A5" s="3" t="inlineStr">
        <is>
          <t>Which material has the highest average inventory value?</t>
        </is>
      </c>
    </row>
    <row r="6">
      <c r="A6" s="3" t="inlineStr">
        <is>
          <t>Which month has the highest total purchases?</t>
        </is>
      </c>
    </row>
    <row r="7">
      <c r="A7" s="3" t="inlineStr">
        <is>
          <t>Which month has the highest material usage?</t>
        </is>
      </c>
    </row>
    <row r="8">
      <c r="A8" s="3" t="inlineStr">
        <is>
          <t>Which region has the largest average inventory gap?</t>
        </is>
      </c>
    </row>
    <row r="9">
      <c r="A9" s="3" t="inlineStr">
        <is>
          <t>Which materials need closer reorder monitoring?</t>
        </is>
      </c>
    </row>
    <row r="10">
      <c r="A10" s="3" t="inlineStr">
        <is>
          <t>How does lead time affect raw-material planning?</t>
        </is>
      </c>
    </row>
    <row r="11">
      <c r="A11" s="3" t="inlineStr">
        <is>
          <t>Why should purchase and usage trends be reviewed together?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s="1" t="inlineStr">
        <is>
          <t>Business Insights</t>
        </is>
      </c>
    </row>
    <row r="2"/>
    <row r="3">
      <c r="A3" s="2" t="inlineStr">
        <is>
          <t>Area</t>
        </is>
      </c>
      <c r="B3" s="2" t="inlineStr">
        <is>
          <t>Insight</t>
        </is>
      </c>
    </row>
    <row r="4">
      <c r="A4" s="3" t="inlineStr">
        <is>
          <t>Inventory</t>
        </is>
      </c>
      <c r="B4" s="3" t="inlineStr">
        <is>
          <t>Closing inventory should be interpreted together with expected usage.</t>
        </is>
      </c>
    </row>
    <row r="5">
      <c r="A5" s="3" t="inlineStr">
        <is>
          <t>Purchasing</t>
        </is>
      </c>
      <c r="B5" s="3" t="inlineStr">
        <is>
          <t>Purchase volume should be compared with consumption rather than viewed alone.</t>
        </is>
      </c>
    </row>
    <row r="6">
      <c r="A6" s="3" t="inlineStr">
        <is>
          <t>Usage</t>
        </is>
      </c>
      <c r="B6" s="3" t="inlineStr">
        <is>
          <t>Higher material usage can increase replenishment requirements.</t>
        </is>
      </c>
    </row>
    <row r="7">
      <c r="A7" s="3" t="inlineStr">
        <is>
          <t>Lead Time</t>
        </is>
      </c>
      <c r="B7" s="3" t="inlineStr">
        <is>
          <t>Longer lead time increases the amount needed to cover expected demand during replenishment.</t>
        </is>
      </c>
    </row>
    <row r="8">
      <c r="A8" s="3" t="inlineStr">
        <is>
          <t>Reorder</t>
        </is>
      </c>
      <c r="B8" s="3" t="inlineStr">
        <is>
          <t>Closing inventory below reorder point is a replenishment signal.</t>
        </is>
      </c>
    </row>
    <row r="9">
      <c r="A9" s="3" t="inlineStr">
        <is>
          <t>Regional View</t>
        </is>
      </c>
      <c r="B9" s="3" t="inlineStr">
        <is>
          <t>Regional summaries help identify where inventory conditions differ.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s="1" t="inlineStr">
        <is>
          <t>Data Dictionary</t>
        </is>
      </c>
    </row>
    <row r="2"/>
    <row r="3">
      <c r="A3" s="2" t="inlineStr">
        <is>
          <t>Field</t>
        </is>
      </c>
      <c r="B3" s="2" t="inlineStr">
        <is>
          <t>Meaning</t>
        </is>
      </c>
    </row>
    <row r="4">
      <c r="A4" s="3" t="inlineStr">
        <is>
          <t>Record_ID</t>
        </is>
      </c>
      <c r="B4" s="3" t="inlineStr">
        <is>
          <t>Unique record identifier</t>
        </is>
      </c>
    </row>
    <row r="5">
      <c r="A5" s="3" t="inlineStr">
        <is>
          <t>Month</t>
        </is>
      </c>
      <c r="B5" s="3" t="inlineStr">
        <is>
          <t>Month of observation</t>
        </is>
      </c>
    </row>
    <row r="6">
      <c r="A6" s="3" t="inlineStr">
        <is>
          <t>Raw_Material</t>
        </is>
      </c>
      <c r="B6" s="3" t="inlineStr">
        <is>
          <t>Raw material category</t>
        </is>
      </c>
    </row>
    <row r="7">
      <c r="A7" s="3" t="inlineStr">
        <is>
          <t>Region</t>
        </is>
      </c>
      <c r="B7" s="3" t="inlineStr">
        <is>
          <t>Operating region</t>
        </is>
      </c>
    </row>
    <row r="8">
      <c r="A8" s="3" t="inlineStr">
        <is>
          <t>Opening_Inventory</t>
        </is>
      </c>
      <c r="B8" s="3" t="inlineStr">
        <is>
          <t>Inventory at start of month</t>
        </is>
      </c>
    </row>
    <row r="9">
      <c r="A9" s="3" t="inlineStr">
        <is>
          <t>Purchases</t>
        </is>
      </c>
      <c r="B9" s="3" t="inlineStr">
        <is>
          <t>Material received/purchased</t>
        </is>
      </c>
    </row>
    <row r="10">
      <c r="A10" s="3" t="inlineStr">
        <is>
          <t>Material_Usage</t>
        </is>
      </c>
      <c r="B10" s="3" t="inlineStr">
        <is>
          <t>Material consumed</t>
        </is>
      </c>
    </row>
    <row r="11">
      <c r="A11" s="3" t="inlineStr">
        <is>
          <t>Closing_Inventory</t>
        </is>
      </c>
      <c r="B11" s="3" t="inlineStr">
        <is>
          <t>Inventory at end of month</t>
        </is>
      </c>
    </row>
    <row r="12">
      <c r="A12" s="3" t="inlineStr">
        <is>
          <t>Unit_Cost</t>
        </is>
      </c>
      <c r="B12" s="3" t="inlineStr">
        <is>
          <t>Illustrative cost per unit</t>
        </is>
      </c>
    </row>
    <row r="13">
      <c r="A13" s="3" t="inlineStr">
        <is>
          <t>Inventory_Value</t>
        </is>
      </c>
      <c r="B13" s="3" t="inlineStr">
        <is>
          <t>Closing inventory multiplied by unit cost</t>
        </is>
      </c>
    </row>
    <row r="14">
      <c r="A14" s="3" t="inlineStr">
        <is>
          <t>Lead_Time_Days</t>
        </is>
      </c>
      <c r="B14" s="3" t="inlineStr">
        <is>
          <t>Replenishment lead time in days</t>
        </is>
      </c>
    </row>
    <row r="15">
      <c r="A15" s="3" t="inlineStr">
        <is>
          <t>Safety_Stock_Days</t>
        </is>
      </c>
      <c r="B15" s="3" t="inlineStr">
        <is>
          <t>Safety-stock coverage in days</t>
        </is>
      </c>
    </row>
    <row r="16">
      <c r="A16" s="3" t="inlineStr">
        <is>
          <t>Lead_Time_Demand</t>
        </is>
      </c>
      <c r="B16" s="3" t="inlineStr">
        <is>
          <t>Expected usage during lead time</t>
        </is>
      </c>
    </row>
    <row r="17">
      <c r="A17" s="3" t="inlineStr">
        <is>
          <t>Reorder_Point</t>
        </is>
      </c>
      <c r="B17" s="3" t="inlineStr">
        <is>
          <t>Lead-time demand plus safety-stock requirement</t>
        </is>
      </c>
    </row>
    <row r="18">
      <c r="A18" s="3" t="inlineStr">
        <is>
          <t>Inventory_Gap</t>
        </is>
      </c>
      <c r="B18" s="3" t="inlineStr">
        <is>
          <t>Closing inventory minus reorder point</t>
        </is>
      </c>
    </row>
    <row r="19">
      <c r="A19" s="3" t="inlineStr">
        <is>
          <t>Stock_Status</t>
        </is>
      </c>
      <c r="B19" s="3" t="inlineStr">
        <is>
          <t>Inventory position relative to reorder point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How to Use This Workbook</t>
        </is>
      </c>
    </row>
    <row r="2"/>
    <row r="3">
      <c r="A3" s="2" t="inlineStr">
        <is>
          <t>Step</t>
        </is>
      </c>
      <c r="B3" s="2" t="inlineStr">
        <is>
          <t>Instruction</t>
        </is>
      </c>
    </row>
    <row r="4">
      <c r="A4" s="3" t="n">
        <v>1</v>
      </c>
      <c r="B4" s="3" t="inlineStr">
        <is>
          <t>Review Raw_Material_Data.</t>
        </is>
      </c>
    </row>
    <row r="5">
      <c r="A5" s="3" t="n">
        <v>2</v>
      </c>
      <c r="B5" s="3" t="inlineStr">
        <is>
          <t>Check Material_Summary.</t>
        </is>
      </c>
    </row>
    <row r="6">
      <c r="A6" s="3" t="n">
        <v>3</v>
      </c>
      <c r="B6" s="3" t="inlineStr">
        <is>
          <t>Review Monthly_Summary.</t>
        </is>
      </c>
    </row>
    <row r="7">
      <c r="A7" s="3" t="n">
        <v>4</v>
      </c>
      <c r="B7" s="3" t="inlineStr">
        <is>
          <t>Compare Region_Summary.</t>
        </is>
      </c>
    </row>
    <row r="8">
      <c r="A8" s="3" t="n">
        <v>5</v>
      </c>
      <c r="B8" s="3" t="inlineStr">
        <is>
          <t>Study Inventory_Analysis_Working formulas.</t>
        </is>
      </c>
    </row>
    <row r="9">
      <c r="A9" s="3" t="n">
        <v>6</v>
      </c>
      <c r="B9" s="3" t="inlineStr">
        <is>
          <t>Answer Presentation_Questions.</t>
        </is>
      </c>
    </row>
    <row r="10">
      <c r="A10" s="3" t="n">
        <v>7</v>
      </c>
      <c r="B10" s="3" t="inlineStr">
        <is>
          <t>Read Business_Insights.</t>
        </is>
      </c>
    </row>
    <row r="11">
      <c r="A11" s="3" t="n">
        <v>8</v>
      </c>
      <c r="B11" s="3" t="inlineStr">
        <is>
          <t>Use the dashboard for presentation practice.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Day 056 — Raw Material Inventory Analysis Presentation</t>
        </is>
      </c>
    </row>
    <row r="2">
      <c r="A2" s="6" t="inlineStr">
        <is>
          <t>Illustrative learning dataset | W8_L9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7" t="inlineStr">
        <is>
          <t>Presentation Note</t>
        </is>
      </c>
    </row>
    <row r="38">
      <c r="A38" s="3" t="inlineStr">
        <is>
          <t>Use the charts to explain inventory position, usage, value, reorder requirements and regional differences.</t>
        </is>
      </c>
    </row>
    <row r="39"/>
    <row r="40"/>
  </sheetData>
  <mergeCells count="1">
    <mergeCell ref="A38:N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2026-09-16T07:26:16Z</dcterms:created>
  <dcterms:modified xmlns:dcterms="http://purl.org/dc/terms/" xmlns:xsi="http://www.w3.org/2001/XMLSchema-instance" xsi:type="dcterms:W3CDTF">2026-09-16T07:26:16Z</dcterms:modified>
</cp:coreProperties>
</file>