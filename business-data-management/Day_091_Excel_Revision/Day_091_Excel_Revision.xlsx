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cel_Basics" sheetId="2" state="visible" r:id="rId2"/>
    <sheet xmlns:r="http://schemas.openxmlformats.org/officeDocument/2006/relationships" name="Formula_Practice" sheetId="3" state="visible" r:id="rId3"/>
    <sheet xmlns:r="http://schemas.openxmlformats.org/officeDocument/2006/relationships" name="Functions_Practice" sheetId="4" state="visible" r:id="rId4"/>
    <sheet xmlns:r="http://schemas.openxmlformats.org/officeDocument/2006/relationships" name="Logical_Functions" sheetId="5" state="visible" r:id="rId5"/>
    <sheet xmlns:r="http://schemas.openxmlformats.org/officeDocument/2006/relationships" name="Conditional_Functions" sheetId="6" state="visible" r:id="rId6"/>
    <sheet xmlns:r="http://schemas.openxmlformats.org/officeDocument/2006/relationships" name="Sorting_Filtering" sheetId="7" state="visible" r:id="rId7"/>
    <sheet xmlns:r="http://schemas.openxmlformats.org/officeDocument/2006/relationships" name="Data_Cleaning" sheetId="8" state="visible" r:id="rId8"/>
    <sheet xmlns:r="http://schemas.openxmlformats.org/officeDocument/2006/relationships" name="Text_Date_Functions" sheetId="9" state="visible" r:id="rId9"/>
    <sheet xmlns:r="http://schemas.openxmlformats.org/officeDocument/2006/relationships" name="Lookup_Practice" sheetId="10" state="visible" r:id="rId10"/>
    <sheet xmlns:r="http://schemas.openxmlformats.org/officeDocument/2006/relationships" name="Business_Data" sheetId="11" state="visible" r:id="rId11"/>
    <sheet xmlns:r="http://schemas.openxmlformats.org/officeDocument/2006/relationships" name="Pivot_Table" sheetId="12" state="visible" r:id="rId12"/>
    <sheet xmlns:r="http://schemas.openxmlformats.org/officeDocument/2006/relationships" name="Process_Summary" sheetId="13" state="visible" r:id="rId13"/>
    <sheet xmlns:r="http://schemas.openxmlformats.org/officeDocument/2006/relationships" name="Region_Summary" sheetId="14" state="visible" r:id="rId14"/>
    <sheet xmlns:r="http://schemas.openxmlformats.org/officeDocument/2006/relationships" name="Chart_Data" sheetId="15" state="visible" r:id="rId15"/>
    <sheet xmlns:r="http://schemas.openxmlformats.org/officeDocument/2006/relationships" name="KPI_Analysis" sheetId="16" state="visible" r:id="rId16"/>
    <sheet xmlns:r="http://schemas.openxmlformats.org/officeDocument/2006/relationships" name="Charts" sheetId="17" state="visible" r:id="rId17"/>
    <sheet xmlns:r="http://schemas.openxmlformats.org/officeDocument/2006/relationships" name="Radar_Data" sheetId="18" state="visible" r:id="rId18"/>
    <sheet xmlns:r="http://schemas.openxmlformats.org/officeDocument/2006/relationships" name="Revision_Questions" sheetId="19" state="visible" r:id="rId19"/>
    <sheet xmlns:r="http://schemas.openxmlformats.org/officeDocument/2006/relationships" name="Final_Excel_Project" sheetId="20" state="visible" r:id="rId20"/>
    <sheet xmlns:r="http://schemas.openxmlformats.org/officeDocument/2006/relationships" name="Excel_Revision_Dashboard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₹#,##0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FFFFFF"/>
      <sz val="20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Column Chart — Revenue by Function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'Pivot_Table'!$A$3:$A$6</f>
            </numRef>
          </cat>
          <val>
            <numRef>
              <f>'Pivot_Table'!$C$3:$C$6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 Chart — Orders by Function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'Pivot_Table'!B2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'Pivot_Table'!$A$3:$A$6</f>
            </numRef>
          </cat>
          <val>
            <numRef>
              <f>'Pivot_Table'!$B$3:$B$6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 Chart — 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'Chart_Data'!$A$3:$A$14</f>
            </numRef>
          </cat>
          <val>
            <numRef>
              <f>'Chart_Data'!$B$3:$B$14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 Chart — Revenue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'Region_Summary'!C2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'Region_Summary'!$A$3:$A$6</f>
            </numRef>
          </cat>
          <val>
            <numRef>
              <f>'Region_Summary'!$C$3:$C$6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Doughnut Chart — Orders by Region</a:t>
            </a:r>
          </a:p>
        </rich>
      </tx>
    </title>
    <plotArea>
      <doughnutChart>
        <varyColors val="1"/>
        <ser>
          <idx val="0"/>
          <order val="0"/>
          <tx>
            <strRef>
              <f>'Region_Summary'!B2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'Region_Summary'!$A$3:$A$6</f>
            </numRef>
          </cat>
          <val>
            <numRef>
              <f>'Region_Summary'!$B$3:$B$6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Area Chart — Monthly Cost</a:t>
            </a:r>
          </a:p>
        </rich>
      </tx>
    </title>
    <plotArea>
      <areaChart>
        <grouping val="standard"/>
        <ser>
          <idx val="0"/>
          <order val="0"/>
          <tx>
            <strRef>
              <f>'Chart_Data'!D2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'Chart_Data'!$A$3:$A$14</f>
            </numRef>
          </cat>
          <val>
            <numRef>
              <f>'Chart_Data'!$D$3:$D$14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 Chart — Ad Spend vs Revenue</a:t>
            </a:r>
          </a:p>
        </rich>
      </tx>
    </title>
    <plotArea>
      <scatterChart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'Business_Data'!$O$3:$O$62</f>
            </numRef>
          </xVal>
          <yVal>
            <numRef>
              <f>'Business_Data'!$F$3:$F$62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 Spend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 Chart — Function Performance</a:t>
            </a:r>
          </a:p>
        </rich>
      </tx>
    </title>
    <plotArea>
      <radarChart>
        <radarStyle val="standard"/>
        <ser>
          <idx val="0"/>
          <order val="0"/>
          <tx>
            <strRef>
              <f>'Radar_Data'!B2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'Radar_Data'!$A$3:$A$6</f>
            </numRef>
          </cat>
          <val>
            <numRef>
              <f>'Radar_Data'!$B$3:$B$6</f>
            </numRef>
          </val>
        </ser>
        <ser>
          <idx val="1"/>
          <order val="1"/>
          <tx>
            <strRef>
              <f>'Radar_Data'!C2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'Radar_Data'!$A$3:$A$6</f>
            </numRef>
          </cat>
          <val>
            <numRef>
              <f>'Radar_Data'!$C$3:$C$6</f>
            </numRef>
          </val>
        </ser>
        <ser>
          <idx val="2"/>
          <order val="2"/>
          <tx>
            <strRef>
              <f>'Radar_Data'!D2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'Radar_Data'!$A$3:$A$6</f>
            </numRef>
          </cat>
          <val>
            <numRef>
              <f>'Radar_Data'!$D$3:$D$6</f>
            </numRef>
          </val>
        </ser>
        <ser>
          <idx val="3"/>
          <order val="3"/>
          <tx>
            <strRef>
              <f>'Radar_Data'!E2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'Radar_Data'!$A$3:$A$6</f>
            </numRef>
          </cat>
          <val>
            <numRef>
              <f>'Radar_Data'!$E$3:$E$6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Business Function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'Pivot_Table'!$A$3:$A$6</f>
            </numRef>
          </cat>
          <val>
            <numRef>
              <f>'Pivot_Table'!$C$3:$C$6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'Chart_Data'!$A$3:$A$14</f>
            </numRef>
          </cat>
          <val>
            <numRef>
              <f>'Chart_Data'!$B$3:$B$14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17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32</row>
      <rowOff>0</rowOff>
    </from>
    <ext cx="432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32</row>
      <rowOff>0</rowOff>
    </from>
    <ext cx="432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47</row>
      <rowOff>0</rowOff>
    </from>
    <ext cx="432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47</row>
      <rowOff>0</rowOff>
    </from>
    <ext cx="432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xcelBasics" displayName="TExcelBasics" ref="A1:B9" headerRowCount="1">
  <autoFilter ref="A1:B9"/>
  <tableColumns count="2">
    <tableColumn id="1" name="Item"/>
    <tableColumn id="2" name="Meaning"/>
  </tableColumns>
  <tableStyleInfo name="TableStyleMedium2" showRowStripes="1"/>
</table>
</file>

<file path=xl/tables/table2.xml><?xml version="1.0" encoding="utf-8"?>
<table xmlns="http://schemas.openxmlformats.org/spreadsheetml/2006/main" id="2" name="TFormulaPractice" displayName="TFormulaPractice" ref="A1:B7" headerRowCount="1">
  <autoFilter ref="A1:B7"/>
  <tableColumns count="2">
    <tableColumn id="1" name="Metric"/>
    <tableColumn id="2" name="Formula"/>
  </tableColumns>
  <tableStyleInfo name="TableStyleMedium2" showRowStripes="1"/>
</table>
</file>

<file path=xl/tables/table3.xml><?xml version="1.0" encoding="utf-8"?>
<table xmlns="http://schemas.openxmlformats.org/spreadsheetml/2006/main" id="3" name="TFunctionsPractice" displayName="TFunctionsPractice" ref="A1:B11" headerRowCount="1">
  <autoFilter ref="A1:B11"/>
  <tableColumns count="2">
    <tableColumn id="1" name="Function"/>
    <tableColumn id="2" name="Purpose"/>
  </tableColumns>
  <tableStyleInfo name="TableStyleMedium2" showRowStripes="1"/>
</table>
</file>

<file path=xl/tables/table4.xml><?xml version="1.0" encoding="utf-8"?>
<table xmlns="http://schemas.openxmlformats.org/spreadsheetml/2006/main" id="4" name="TLogicalFunctions" displayName="TLogicalFunctions" ref="A1:B5" headerRowCount="1">
  <autoFilter ref="A1:B5"/>
  <tableColumns count="2">
    <tableColumn id="1" name="Function"/>
    <tableColumn id="2" name="Purpose"/>
  </tableColumns>
  <tableStyleInfo name="TableStyleMedium2" showRowStripes="1"/>
</table>
</file>

<file path=xl/tables/table5.xml><?xml version="1.0" encoding="utf-8"?>
<table xmlns="http://schemas.openxmlformats.org/spreadsheetml/2006/main" id="5" name="TConditionalFunctions" displayName="TConditionalFunctions" ref="A1:B4" headerRowCount="1">
  <autoFilter ref="A1:B4"/>
  <tableColumns count="2">
    <tableColumn id="1" name="Function"/>
    <tableColumn id="2" name="Use"/>
  </tableColumns>
  <tableStyleInfo name="TableStyleMedium2" showRowStripes="1"/>
</table>
</file>

<file path=xl/tables/table6.xml><?xml version="1.0" encoding="utf-8"?>
<table xmlns="http://schemas.openxmlformats.org/spreadsheetml/2006/main" id="6" name="TSortingFiltering" displayName="TSortingFiltering" ref="A1:B4" headerRowCount="1">
  <autoFilter ref="A1:B4"/>
  <tableColumns count="2">
    <tableColumn id="1" name="Operation"/>
    <tableColumn id="2" name="Example"/>
  </tableColumns>
  <tableStyleInfo name="TableStyleMedium2" showRowStripes="1"/>
</table>
</file>

<file path=xl/tables/table7.xml><?xml version="1.0" encoding="utf-8"?>
<table xmlns="http://schemas.openxmlformats.org/spreadsheetml/2006/main" id="7" name="TDataCleaning" displayName="TDataCleaning" ref="A1:B6" headerRowCount="1">
  <autoFilter ref="A1:B6"/>
  <tableColumns count="2">
    <tableColumn id="1" name="Issue"/>
    <tableColumn id="2" name="Action"/>
  </tableColumns>
  <tableStyleInfo name="TableStyleMedium2" showRowStripes="1"/>
</table>
</file>

<file path=xl/tables/table8.xml><?xml version="1.0" encoding="utf-8"?>
<table xmlns="http://schemas.openxmlformats.org/spreadsheetml/2006/main" id="8" name="TTextDateFunctions" displayName="TTextDateFunctions" ref="A1:B12" headerRowCount="1">
  <autoFilter ref="A1:B12"/>
  <tableColumns count="2">
    <tableColumn id="1" name="Function"/>
    <tableColumn id="2" name="Purpose"/>
  </tableColumns>
  <tableStyleInfo name="TableStyleMedium2" showRowStripes="1"/>
</table>
</file>

<file path=xl/tables/table9.xml><?xml version="1.0" encoding="utf-8"?>
<table xmlns="http://schemas.openxmlformats.org/spreadsheetml/2006/main" id="9" name="TLookupPractice" displayName="TLookupPractice" ref="A1:B3" headerRowCount="1">
  <autoFilter ref="A1:B3"/>
  <tableColumns count="2">
    <tableColumn id="1" name="Function"/>
    <tableColumn id="2" name="Purpose"/>
  </tableColumns>
  <tableStyleInfo name="TableStyleMedium2" showRowStripes="1"/>
</table>
</file>

<file path=xl/tables/table10.xml><?xml version="1.0" encoding="utf-8"?>
<table xmlns="http://schemas.openxmlformats.org/spreadsheetml/2006/main" id="10" name="TBusinessData" displayName="TBusinessData" ref="A2:S62" headerRowCount="1">
  <autoFilter ref="A2:S62"/>
  <tableColumns count="19">
    <tableColumn id="1" name="Date"/>
    <tableColumn id="2" name="Business_Function"/>
    <tableColumn id="3" name="Process"/>
    <tableColumn id="4" name="Region"/>
    <tableColumn id="5" name="Orders"/>
    <tableColumn id="6" name="Revenue_Rupee"/>
    <tableColumn id="7" name="Cost_Rupee"/>
    <tableColumn id="8" name="Delivery_Days"/>
    <tableColumn id="9" name="Deliveries"/>
    <tableColumn id="10" name="On_Time_Deliveries"/>
    <tableColumn id="11" name="Returned_Orders"/>
    <tableColumn id="12" name="Customer_Satisfaction_%"/>
    <tableColumn id="13" name="Customers"/>
    <tableColumn id="14" name="New_Customers"/>
    <tableColumn id="15" name="Ad_Spend_Rupee"/>
    <tableColumn id="16" name="Profit_Rupee"/>
    <tableColumn id="17" name="Profit_Margin_%"/>
    <tableColumn id="18" name="Return_Rate_%"/>
    <tableColumn id="19" name="On_Time_Rate_%"/>
  </tableColumns>
  <tableStyleInfo name="TableStyleMedium2" showRowStripes="1"/>
</table>
</file>

<file path=xl/tables/table11.xml><?xml version="1.0" encoding="utf-8"?>
<table xmlns="http://schemas.openxmlformats.org/spreadsheetml/2006/main" id="11" name="TPivotTable" displayName="TPivotTable" ref="A2:F6" headerRowCount="1">
  <autoFilter ref="A2:F6"/>
  <tableColumns count="6">
    <tableColumn id="1" name="Business_Function"/>
    <tableColumn id="2" name="Orders"/>
    <tableColumn id="3" name="Revenue_Rupee"/>
    <tableColumn id="4" name="Cost_Rupee"/>
    <tableColumn id="5" name="Profit_Rupee"/>
    <tableColumn id="6" name="Avg_Satisfaction"/>
  </tableColumns>
  <tableStyleInfo name="TableStyleMedium2" showRowStripes="1"/>
</table>
</file>

<file path=xl/tables/table12.xml><?xml version="1.0" encoding="utf-8"?>
<table xmlns="http://schemas.openxmlformats.org/spreadsheetml/2006/main" id="12" name="TProcessSummary" displayName="TProcessSummary" ref="A2:F6" headerRowCount="1">
  <autoFilter ref="A2:F6"/>
  <tableColumns count="6">
    <tableColumn id="1" name="Process"/>
    <tableColumn id="2" name="Orders"/>
    <tableColumn id="3" name="Revenue_Rupee"/>
    <tableColumn id="4" name="Cost_Rupee"/>
    <tableColumn id="5" name="Profit_Rupee"/>
    <tableColumn id="6" name="Avg_Delivery_Days"/>
  </tableColumns>
  <tableStyleInfo name="TableStyleMedium2" showRowStripes="1"/>
</table>
</file>

<file path=xl/tables/table13.xml><?xml version="1.0" encoding="utf-8"?>
<table xmlns="http://schemas.openxmlformats.org/spreadsheetml/2006/main" id="13" name="TRegionSummary" displayName="TRegionSummary" ref="A2:C6" headerRowCount="1">
  <autoFilter ref="A2:C6"/>
  <tableColumns count="3">
    <tableColumn id="1" name="Region"/>
    <tableColumn id="2" name="Orders"/>
    <tableColumn id="3" name="Revenue_Rupee"/>
  </tableColumns>
  <tableStyleInfo name="TableStyleMedium2" showRowStripes="1"/>
</table>
</file>

<file path=xl/tables/table14.xml><?xml version="1.0" encoding="utf-8"?>
<table xmlns="http://schemas.openxmlformats.org/spreadsheetml/2006/main" id="14" name="TChartData" displayName="TChartData" ref="A2:D5" headerRowCount="1">
  <autoFilter ref="A2:D5"/>
  <tableColumns count="4">
    <tableColumn id="1" name="Month"/>
    <tableColumn id="2" name="Revenue_Rupee"/>
    <tableColumn id="3" name="Orders"/>
    <tableColumn id="4" name="Cost_Rupee"/>
  </tableColumns>
  <tableStyleInfo name="TableStyleMedium2" showRowStripes="1"/>
</table>
</file>

<file path=xl/tables/table15.xml><?xml version="1.0" encoding="utf-8"?>
<table xmlns="http://schemas.openxmlformats.org/spreadsheetml/2006/main" id="15" name="TKPIAnalysis" displayName="TKPIAnalysis" ref="A2:B11" headerRowCount="1">
  <autoFilter ref="A2:B11"/>
  <tableColumns count="2">
    <tableColumn id="1" name="KPI"/>
    <tableColumn id="2" name="Value"/>
  </tableColumns>
  <tableStyleInfo name="TableStyleMedium2" showRowStripes="1"/>
</table>
</file>

<file path=xl/tables/table16.xml><?xml version="1.0" encoding="utf-8"?>
<table xmlns="http://schemas.openxmlformats.org/spreadsheetml/2006/main" id="16" name="TRadarData" displayName="TRadarData" ref="A2:E6" headerRowCount="1">
  <autoFilter ref="A2:E6"/>
  <tableColumns count="5">
    <tableColumn id="1" name="Business_Function"/>
    <tableColumn id="2" name="Orders"/>
    <tableColumn id="3" name="Revenue_Index"/>
    <tableColumn id="4" name="Profit_Index"/>
    <tableColumn id="5" name="Avg_Satisfaction"/>
  </tableColumns>
  <tableStyleInfo name="TableStyleMedium2" showRowStripes="1"/>
</table>
</file>

<file path=xl/tables/table17.xml><?xml version="1.0" encoding="utf-8"?>
<table xmlns="http://schemas.openxmlformats.org/spreadsheetml/2006/main" id="17" name="TRevisionQuestions" displayName="TRevisionQuestions" ref="A2:C17" headerRowCount="1">
  <autoFilter ref="A2:C17"/>
  <tableColumns count="3">
    <tableColumn id="1" name="No"/>
    <tableColumn id="2" name="Question"/>
    <tableColumn id="3" name="Your_Answ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Day 091 — Excel Revision</t>
        </is>
      </c>
    </row>
    <row r="2">
      <c r="A2" s="2" t="inlineStr">
        <is>
          <t>Author</t>
        </is>
      </c>
      <c r="B2" s="2" t="inlineStr">
        <is>
          <t>Saloni Tiwari</t>
        </is>
      </c>
    </row>
    <row r="3">
      <c r="A3" s="2" t="inlineStr">
        <is>
          <t>Programme</t>
        </is>
      </c>
      <c r="B3" s="2" t="inlineStr">
        <is>
          <t>IIT Madras BS Degree — Diploma Level</t>
        </is>
      </c>
    </row>
    <row r="4">
      <c r="A4" s="2" t="inlineStr">
        <is>
          <t>Day</t>
        </is>
      </c>
      <c r="B4" s="2" t="inlineStr">
        <is>
          <t>091</t>
        </is>
      </c>
    </row>
    <row r="5">
      <c r="A5" s="2" t="inlineStr">
        <is>
          <t>Topic</t>
        </is>
      </c>
      <c r="B5" s="2" t="inlineStr">
        <is>
          <t>Excel Revision</t>
        </is>
      </c>
    </row>
    <row r="6">
      <c r="A6" s="2" t="inlineStr">
        <is>
          <t>Purpose</t>
        </is>
      </c>
      <c r="B6" s="2" t="inlineStr">
        <is>
          <t>Complete practical revision of Excel for business data analysis.</t>
        </is>
      </c>
    </row>
    <row r="7">
      <c r="A7" s="2" t="inlineStr">
        <is>
          <t>Chart Coverage</t>
        </is>
      </c>
      <c r="B7" s="2" t="inlineStr">
        <is>
          <t>Column, Bar, Line, Pie, Doughnut, Area, Scatter and Radar charts are included.</t>
        </is>
      </c>
    </row>
    <row r="8">
      <c r="A8" s="2" t="inlineStr">
        <is>
          <t>Practice</t>
        </is>
      </c>
      <c r="B8" s="2" t="inlineStr">
        <is>
          <t>Use Business_Data, Revision_Questions and Final_Excel_Project.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3" t="inlineStr">
        <is>
          <t>Item</t>
        </is>
      </c>
      <c r="B1" s="3" t="inlineStr">
        <is>
          <t>Meaning</t>
        </is>
      </c>
    </row>
    <row r="2">
      <c r="A2" s="2" t="inlineStr">
        <is>
          <t>Workbook</t>
        </is>
      </c>
      <c r="B2" s="2" t="inlineStr">
        <is>
          <t>Excel file</t>
        </is>
      </c>
    </row>
    <row r="3">
      <c r="A3" s="2" t="inlineStr">
        <is>
          <t>Worksheet</t>
        </is>
      </c>
      <c r="B3" s="2" t="inlineStr">
        <is>
          <t>Individual sheet</t>
        </is>
      </c>
    </row>
    <row r="4">
      <c r="A4" s="2" t="inlineStr">
        <is>
          <t>Cell</t>
        </is>
      </c>
      <c r="B4" s="2" t="inlineStr">
        <is>
          <t>Single data location</t>
        </is>
      </c>
    </row>
    <row r="5">
      <c r="A5" s="2" t="inlineStr">
        <is>
          <t>Range</t>
        </is>
      </c>
      <c r="B5" s="2" t="inlineStr">
        <is>
          <t>Group of cells</t>
        </is>
      </c>
    </row>
    <row r="6">
      <c r="A6" s="2" t="inlineStr">
        <is>
          <t>Row</t>
        </is>
      </c>
      <c r="B6" s="2" t="inlineStr">
        <is>
          <t>Horizontal cells</t>
        </is>
      </c>
    </row>
    <row r="7">
      <c r="A7" s="2" t="inlineStr">
        <is>
          <t>Column</t>
        </is>
      </c>
      <c r="B7" s="2" t="inlineStr">
        <is>
          <t>Vertical cells</t>
        </is>
      </c>
    </row>
    <row r="8">
      <c r="A8" s="2" t="inlineStr">
        <is>
          <t>Formula</t>
        </is>
      </c>
      <c r="B8" s="2" t="inlineStr">
        <is>
          <t>Calculation expression</t>
        </is>
      </c>
    </row>
    <row r="9">
      <c r="A9" s="2" t="inlineStr">
        <is>
          <t>Function</t>
        </is>
      </c>
      <c r="B9" s="2" t="inlineStr">
        <is>
          <t>Built-in calculation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3" t="inlineStr">
        <is>
          <t>Metric</t>
        </is>
      </c>
      <c r="B1" s="3" t="inlineStr">
        <is>
          <t>Formula</t>
        </is>
      </c>
    </row>
    <row r="2">
      <c r="A2" s="2" t="inlineStr">
        <is>
          <t>Profit</t>
        </is>
      </c>
      <c r="B2" s="2" t="inlineStr">
        <is>
          <t>Revenue - Cost</t>
        </is>
      </c>
    </row>
    <row r="3">
      <c r="A3" s="2" t="inlineStr">
        <is>
          <t>AOV</t>
        </is>
      </c>
      <c r="B3" s="2" t="inlineStr">
        <is>
          <t>Revenue / Orders</t>
        </is>
      </c>
    </row>
    <row r="4">
      <c r="A4" s="2" t="inlineStr">
        <is>
          <t>Cost per Order</t>
        </is>
      </c>
      <c r="B4" s="2" t="inlineStr">
        <is>
          <t>Cost / Orders</t>
        </is>
      </c>
    </row>
    <row r="5">
      <c r="A5" s="2" t="inlineStr">
        <is>
          <t>Profit Margin</t>
        </is>
      </c>
      <c r="B5" s="2" t="inlineStr">
        <is>
          <t>Profit / Revenue × 100</t>
        </is>
      </c>
    </row>
    <row r="6">
      <c r="A6" s="2" t="inlineStr">
        <is>
          <t>Return Rate</t>
        </is>
      </c>
      <c r="B6" s="2" t="inlineStr">
        <is>
          <t>Returned Orders / Orders × 100</t>
        </is>
      </c>
    </row>
    <row r="7">
      <c r="A7" s="2" t="inlineStr">
        <is>
          <t>On-Time Rate</t>
        </is>
      </c>
      <c r="B7" s="2" t="inlineStr">
        <is>
          <t>On-Time Deliveries / Deliveries × 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3" t="inlineStr">
        <is>
          <t>Function</t>
        </is>
      </c>
      <c r="B1" s="3" t="inlineStr">
        <is>
          <t>Purpose</t>
        </is>
      </c>
    </row>
    <row r="2">
      <c r="A2" s="2" t="inlineStr">
        <is>
          <t>SUM</t>
        </is>
      </c>
      <c r="B2" s="2" t="inlineStr">
        <is>
          <t>Total</t>
        </is>
      </c>
    </row>
    <row r="3">
      <c r="A3" s="2" t="inlineStr">
        <is>
          <t>AVERAGE</t>
        </is>
      </c>
      <c r="B3" s="2" t="inlineStr">
        <is>
          <t>Average</t>
        </is>
      </c>
    </row>
    <row r="4">
      <c r="A4" s="2" t="inlineStr">
        <is>
          <t>COUNT</t>
        </is>
      </c>
      <c r="B4" s="2" t="inlineStr">
        <is>
          <t>Count numbers</t>
        </is>
      </c>
    </row>
    <row r="5">
      <c r="A5" s="2" t="inlineStr">
        <is>
          <t>COUNTA</t>
        </is>
      </c>
      <c r="B5" s="2" t="inlineStr">
        <is>
          <t>Count non-empty</t>
        </is>
      </c>
    </row>
    <row r="6">
      <c r="A6" s="2" t="inlineStr">
        <is>
          <t>MIN</t>
        </is>
      </c>
      <c r="B6" s="2" t="inlineStr">
        <is>
          <t>Minimum</t>
        </is>
      </c>
    </row>
    <row r="7">
      <c r="A7" s="2" t="inlineStr">
        <is>
          <t>MAX</t>
        </is>
      </c>
      <c r="B7" s="2" t="inlineStr">
        <is>
          <t>Maximum</t>
        </is>
      </c>
    </row>
    <row r="8">
      <c r="A8" s="2" t="inlineStr">
        <is>
          <t>IF</t>
        </is>
      </c>
      <c r="B8" s="2" t="inlineStr">
        <is>
          <t>Condition</t>
        </is>
      </c>
    </row>
    <row r="9">
      <c r="A9" s="2" t="inlineStr">
        <is>
          <t>COUNTIF</t>
        </is>
      </c>
      <c r="B9" s="2" t="inlineStr">
        <is>
          <t>Conditional count</t>
        </is>
      </c>
    </row>
    <row r="10">
      <c r="A10" s="2" t="inlineStr">
        <is>
          <t>SUMIF</t>
        </is>
      </c>
      <c r="B10" s="2" t="inlineStr">
        <is>
          <t>Conditional sum</t>
        </is>
      </c>
    </row>
    <row r="11">
      <c r="A11" s="2" t="inlineStr">
        <is>
          <t>AVERAGEIF</t>
        </is>
      </c>
      <c r="B11" s="2" t="inlineStr">
        <is>
          <t>Conditional average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3" t="inlineStr">
        <is>
          <t>Function</t>
        </is>
      </c>
      <c r="B1" s="3" t="inlineStr">
        <is>
          <t>Purpose</t>
        </is>
      </c>
    </row>
    <row r="2">
      <c r="A2" s="2" t="inlineStr">
        <is>
          <t>IF</t>
        </is>
      </c>
      <c r="B2" s="2" t="inlineStr">
        <is>
          <t>Conditional result</t>
        </is>
      </c>
    </row>
    <row r="3">
      <c r="A3" s="2" t="inlineStr">
        <is>
          <t>AND</t>
        </is>
      </c>
      <c r="B3" s="2" t="inlineStr">
        <is>
          <t>All conditions TRUE</t>
        </is>
      </c>
    </row>
    <row r="4">
      <c r="A4" s="2" t="inlineStr">
        <is>
          <t>OR</t>
        </is>
      </c>
      <c r="B4" s="2" t="inlineStr">
        <is>
          <t>At least one condition TRUE</t>
        </is>
      </c>
    </row>
    <row r="5">
      <c r="A5" s="2" t="inlineStr">
        <is>
          <t>NOT</t>
        </is>
      </c>
      <c r="B5" s="2" t="inlineStr">
        <is>
          <t>Reverse TRUE/FALSE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3" t="inlineStr">
        <is>
          <t>Function</t>
        </is>
      </c>
      <c r="B1" s="3" t="inlineStr">
        <is>
          <t>Use</t>
        </is>
      </c>
    </row>
    <row r="2">
      <c r="A2" s="2" t="inlineStr">
        <is>
          <t>COUNTIF</t>
        </is>
      </c>
      <c r="B2" s="2" t="inlineStr">
        <is>
          <t>Count matching records</t>
        </is>
      </c>
    </row>
    <row r="3">
      <c r="A3" s="2" t="inlineStr">
        <is>
          <t>SUMIF</t>
        </is>
      </c>
      <c r="B3" s="2" t="inlineStr">
        <is>
          <t>Sum matching records</t>
        </is>
      </c>
    </row>
    <row r="4">
      <c r="A4" s="2" t="inlineStr">
        <is>
          <t>AVERAGEIF</t>
        </is>
      </c>
      <c r="B4" s="2" t="inlineStr">
        <is>
          <t>Average matching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</cols>
  <sheetData>
    <row r="1">
      <c r="A1" s="3" t="inlineStr">
        <is>
          <t>Operation</t>
        </is>
      </c>
      <c r="B1" s="3" t="inlineStr">
        <is>
          <t>Example</t>
        </is>
      </c>
    </row>
    <row r="2">
      <c r="A2" s="2" t="inlineStr">
        <is>
          <t>Sort</t>
        </is>
      </c>
      <c r="B2" s="2" t="inlineStr">
        <is>
          <t>Revenue largest to smallest</t>
        </is>
      </c>
    </row>
    <row r="3">
      <c r="A3" s="2" t="inlineStr">
        <is>
          <t>Filter</t>
        </is>
      </c>
      <c r="B3" s="2" t="inlineStr">
        <is>
          <t>Business_Function = Sales</t>
        </is>
      </c>
    </row>
    <row r="4">
      <c r="A4" s="2" t="inlineStr">
        <is>
          <t>Multi-condition filter</t>
        </is>
      </c>
      <c r="B4" s="2" t="inlineStr">
        <is>
          <t>Operations AND Delivery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</cols>
  <sheetData>
    <row r="1">
      <c r="A1" s="3" t="inlineStr">
        <is>
          <t>Issue</t>
        </is>
      </c>
      <c r="B1" s="3" t="inlineStr">
        <is>
          <t>Action</t>
        </is>
      </c>
    </row>
    <row r="2">
      <c r="A2" s="2" t="inlineStr">
        <is>
          <t>Duplicates</t>
        </is>
      </c>
      <c r="B2" s="2" t="inlineStr">
        <is>
          <t>Remove Duplicates</t>
        </is>
      </c>
    </row>
    <row r="3">
      <c r="A3" s="2" t="inlineStr">
        <is>
          <t>Blank values</t>
        </is>
      </c>
      <c r="B3" s="2" t="inlineStr">
        <is>
          <t>Filter blanks</t>
        </is>
      </c>
    </row>
    <row r="4">
      <c r="A4" s="2" t="inlineStr">
        <is>
          <t>Inconsistent text</t>
        </is>
      </c>
      <c r="B4" s="2" t="inlineStr">
        <is>
          <t>TRIM / Find &amp; Replace</t>
        </is>
      </c>
    </row>
    <row r="5">
      <c r="A5" s="2" t="inlineStr">
        <is>
          <t>Wrong data type</t>
        </is>
      </c>
      <c r="B5" s="2" t="inlineStr">
        <is>
          <t>Convert format</t>
        </is>
      </c>
    </row>
    <row r="6">
      <c r="A6" s="2" t="inlineStr">
        <is>
          <t>Incorrect dates</t>
        </is>
      </c>
      <c r="B6" s="2" t="inlineStr">
        <is>
          <t>Correct date format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3" t="inlineStr">
        <is>
          <t>Function</t>
        </is>
      </c>
      <c r="B1" s="3" t="inlineStr">
        <is>
          <t>Purpose</t>
        </is>
      </c>
    </row>
    <row r="2">
      <c r="A2" s="2" t="inlineStr">
        <is>
          <t>LEFT</t>
        </is>
      </c>
      <c r="B2" s="2" t="inlineStr">
        <is>
          <t>First characters</t>
        </is>
      </c>
    </row>
    <row r="3">
      <c r="A3" s="2" t="inlineStr">
        <is>
          <t>RIGHT</t>
        </is>
      </c>
      <c r="B3" s="2" t="inlineStr">
        <is>
          <t>Last characters</t>
        </is>
      </c>
    </row>
    <row r="4">
      <c r="A4" s="2" t="inlineStr">
        <is>
          <t>MID</t>
        </is>
      </c>
      <c r="B4" s="2" t="inlineStr">
        <is>
          <t>Middle text</t>
        </is>
      </c>
    </row>
    <row r="5">
      <c r="A5" s="2" t="inlineStr">
        <is>
          <t>LEN</t>
        </is>
      </c>
      <c r="B5" s="2" t="inlineStr">
        <is>
          <t>Text length</t>
        </is>
      </c>
    </row>
    <row r="6">
      <c r="A6" s="2" t="inlineStr">
        <is>
          <t>TRIM</t>
        </is>
      </c>
      <c r="B6" s="2" t="inlineStr">
        <is>
          <t>Remove extra spaces</t>
        </is>
      </c>
    </row>
    <row r="7">
      <c r="A7" s="2" t="inlineStr">
        <is>
          <t>UPPER</t>
        </is>
      </c>
      <c r="B7" s="2" t="inlineStr">
        <is>
          <t>Uppercase</t>
        </is>
      </c>
    </row>
    <row r="8">
      <c r="A8" s="2" t="inlineStr">
        <is>
          <t>LOWER</t>
        </is>
      </c>
      <c r="B8" s="2" t="inlineStr">
        <is>
          <t>Lowercase</t>
        </is>
      </c>
    </row>
    <row r="9">
      <c r="A9" s="2" t="inlineStr">
        <is>
          <t>TODAY</t>
        </is>
      </c>
      <c r="B9" s="2" t="inlineStr">
        <is>
          <t>Current date</t>
        </is>
      </c>
    </row>
    <row r="10">
      <c r="A10" s="2" t="inlineStr">
        <is>
          <t>YEAR</t>
        </is>
      </c>
      <c r="B10" s="2" t="inlineStr">
        <is>
          <t>Extract year</t>
        </is>
      </c>
    </row>
    <row r="11">
      <c r="A11" s="2" t="inlineStr">
        <is>
          <t>MONTH</t>
        </is>
      </c>
      <c r="B11" s="2" t="inlineStr">
        <is>
          <t>Extract month</t>
        </is>
      </c>
    </row>
    <row r="12">
      <c r="A12" s="2" t="inlineStr">
        <is>
          <t>DAY</t>
        </is>
      </c>
      <c r="B12" s="2" t="inlineStr">
        <is>
          <t>Extract 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3" t="inlineStr">
        <is>
          <t>Function</t>
        </is>
      </c>
      <c r="B1" s="3" t="inlineStr">
        <is>
          <t>Purpose</t>
        </is>
      </c>
    </row>
    <row r="2">
      <c r="A2" s="2" t="inlineStr">
        <is>
          <t>VLOOKUP</t>
        </is>
      </c>
      <c r="B2" s="2" t="inlineStr">
        <is>
          <t>Vertical lookup</t>
        </is>
      </c>
    </row>
    <row r="3">
      <c r="A3" s="2" t="inlineStr">
        <is>
          <t>XLOOKUP</t>
        </is>
      </c>
      <c r="B3" s="2" t="inlineStr">
        <is>
          <t>Flexible lookup and return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8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20" customWidth="1" min="10" max="10"/>
    <col width="17" customWidth="1" min="11" max="11"/>
    <col width="25" customWidth="1" min="12" max="12"/>
    <col width="12" customWidth="1" min="13" max="13"/>
    <col width="15" customWidth="1" min="14" max="14"/>
    <col width="16" customWidth="1" min="15" max="15"/>
    <col width="14" customWidth="1" min="16" max="16"/>
    <col width="21" customWidth="1" min="17" max="17"/>
    <col width="20" customWidth="1" min="18" max="18"/>
    <col width="20" customWidth="1" min="19" max="19"/>
  </cols>
  <sheetData>
    <row r="1">
      <c r="A1" s="1" t="inlineStr">
        <is>
          <t>Business Data — Practice Dataset</t>
        </is>
      </c>
    </row>
    <row r="2">
      <c r="A2" s="3" t="inlineStr">
        <is>
          <t>Date</t>
        </is>
      </c>
      <c r="B2" s="3" t="inlineStr">
        <is>
          <t>Business_Function</t>
        </is>
      </c>
      <c r="C2" s="3" t="inlineStr">
        <is>
          <t>Process</t>
        </is>
      </c>
      <c r="D2" s="3" t="inlineStr">
        <is>
          <t>Region</t>
        </is>
      </c>
      <c r="E2" s="3" t="inlineStr">
        <is>
          <t>Orders</t>
        </is>
      </c>
      <c r="F2" s="3" t="inlineStr">
        <is>
          <t>Revenue_Rupee</t>
        </is>
      </c>
      <c r="G2" s="3" t="inlineStr">
        <is>
          <t>Cost_Rupee</t>
        </is>
      </c>
      <c r="H2" s="3" t="inlineStr">
        <is>
          <t>Delivery_Days</t>
        </is>
      </c>
      <c r="I2" s="3" t="inlineStr">
        <is>
          <t>Deliveries</t>
        </is>
      </c>
      <c r="J2" s="3" t="inlineStr">
        <is>
          <t>On_Time_Deliveries</t>
        </is>
      </c>
      <c r="K2" s="3" t="inlineStr">
        <is>
          <t>Returned_Orders</t>
        </is>
      </c>
      <c r="L2" s="3" t="inlineStr">
        <is>
          <t>Customer_Satisfaction_%</t>
        </is>
      </c>
      <c r="M2" s="3" t="inlineStr">
        <is>
          <t>Customers</t>
        </is>
      </c>
      <c r="N2" s="3" t="inlineStr">
        <is>
          <t>New_Customers</t>
        </is>
      </c>
      <c r="O2" s="3" t="inlineStr">
        <is>
          <t>Ad_Spend_Rupee</t>
        </is>
      </c>
      <c r="P2" s="3" t="inlineStr">
        <is>
          <t>Profit_Rupee</t>
        </is>
      </c>
      <c r="Q2" s="3" t="inlineStr">
        <is>
          <t>Profit_Margin_%</t>
        </is>
      </c>
      <c r="R2" s="3" t="inlineStr">
        <is>
          <t>Return_Rate_%</t>
        </is>
      </c>
      <c r="S2" s="3" t="inlineStr">
        <is>
          <t>On_Time_Rate_%</t>
        </is>
      </c>
    </row>
    <row r="3">
      <c r="A3" s="4" t="n">
        <v>46023</v>
      </c>
      <c r="B3" s="2" t="inlineStr">
        <is>
          <t>Customer Service</t>
        </is>
      </c>
      <c r="C3" s="2" t="inlineStr">
        <is>
          <t>Customer Support</t>
        </is>
      </c>
      <c r="D3" s="2" t="inlineStr">
        <is>
          <t>South</t>
        </is>
      </c>
      <c r="E3" s="2" t="n">
        <v>46</v>
      </c>
      <c r="F3" s="5" t="n">
        <v>92299</v>
      </c>
      <c r="G3" s="5" t="n">
        <v>298766</v>
      </c>
      <c r="H3" s="2" t="n">
        <v>7</v>
      </c>
      <c r="I3" s="2" t="n">
        <v>149</v>
      </c>
      <c r="J3" s="2" t="n">
        <v>88</v>
      </c>
      <c r="K3" s="2" t="n">
        <v>17</v>
      </c>
      <c r="L3" s="2" t="n">
        <v>71.90000000000001</v>
      </c>
      <c r="M3" s="2" t="n">
        <v>175</v>
      </c>
      <c r="N3" s="2" t="n">
        <v>21</v>
      </c>
      <c r="O3" s="2" t="n">
        <v>11510</v>
      </c>
      <c r="P3" s="5" t="n">
        <v>-206467</v>
      </c>
      <c r="Q3" s="6" t="n">
        <v>-223.6936478185029</v>
      </c>
      <c r="R3" s="6" t="n">
        <v>36.95652173913043</v>
      </c>
      <c r="S3" s="6" t="n">
        <v>59.06040268456376</v>
      </c>
    </row>
    <row r="4">
      <c r="A4" s="4" t="n">
        <v>46024</v>
      </c>
      <c r="B4" s="2" t="inlineStr">
        <is>
          <t>Customer Service</t>
        </is>
      </c>
      <c r="C4" s="2" t="inlineStr">
        <is>
          <t>Customer Support</t>
        </is>
      </c>
      <c r="D4" s="2" t="inlineStr">
        <is>
          <t>East</t>
        </is>
      </c>
      <c r="E4" s="2" t="n">
        <v>210</v>
      </c>
      <c r="F4" s="5" t="n">
        <v>369850</v>
      </c>
      <c r="G4" s="5" t="n">
        <v>211598</v>
      </c>
      <c r="H4" s="2" t="n">
        <v>1</v>
      </c>
      <c r="I4" s="2" t="n">
        <v>217</v>
      </c>
      <c r="J4" s="2" t="n">
        <v>65</v>
      </c>
      <c r="K4" s="2" t="n">
        <v>5</v>
      </c>
      <c r="L4" s="2" t="n">
        <v>72.3</v>
      </c>
      <c r="M4" s="2" t="n">
        <v>81</v>
      </c>
      <c r="N4" s="2" t="n">
        <v>45</v>
      </c>
      <c r="O4" s="2" t="n">
        <v>49888</v>
      </c>
      <c r="P4" s="5" t="n">
        <v>158252</v>
      </c>
      <c r="Q4" s="6" t="n">
        <v>42.78815736109233</v>
      </c>
      <c r="R4" s="6" t="n">
        <v>2.380952380952381</v>
      </c>
      <c r="S4" s="6" t="n">
        <v>29.95391705069124</v>
      </c>
    </row>
    <row r="5">
      <c r="A5" s="4" t="n">
        <v>46025</v>
      </c>
      <c r="B5" s="2" t="inlineStr">
        <is>
          <t>Customer Service</t>
        </is>
      </c>
      <c r="C5" s="2" t="inlineStr">
        <is>
          <t>Production</t>
        </is>
      </c>
      <c r="D5" s="2" t="inlineStr">
        <is>
          <t>South</t>
        </is>
      </c>
      <c r="E5" s="2" t="n">
        <v>187</v>
      </c>
      <c r="F5" s="5" t="n">
        <v>82100</v>
      </c>
      <c r="G5" s="5" t="n">
        <v>105336</v>
      </c>
      <c r="H5" s="2" t="n">
        <v>1</v>
      </c>
      <c r="I5" s="2" t="n">
        <v>63</v>
      </c>
      <c r="J5" s="2" t="n">
        <v>63</v>
      </c>
      <c r="K5" s="2" t="n">
        <v>4</v>
      </c>
      <c r="L5" s="2" t="n">
        <v>77.3</v>
      </c>
      <c r="M5" s="2" t="n">
        <v>31</v>
      </c>
      <c r="N5" s="2" t="n">
        <v>56</v>
      </c>
      <c r="O5" s="2" t="n">
        <v>37898</v>
      </c>
      <c r="P5" s="5" t="n">
        <v>-23236</v>
      </c>
      <c r="Q5" s="6" t="n">
        <v>-28.3020706455542</v>
      </c>
      <c r="R5" s="6" t="n">
        <v>2.13903743315508</v>
      </c>
      <c r="S5" s="6" t="n">
        <v>100</v>
      </c>
    </row>
    <row r="6">
      <c r="A6" s="4" t="n">
        <v>46026</v>
      </c>
      <c r="B6" s="2" t="inlineStr">
        <is>
          <t>Customer Service</t>
        </is>
      </c>
      <c r="C6" s="2" t="inlineStr">
        <is>
          <t>Customer Support</t>
        </is>
      </c>
      <c r="D6" s="2" t="inlineStr">
        <is>
          <t>South</t>
        </is>
      </c>
      <c r="E6" s="2" t="n">
        <v>86</v>
      </c>
      <c r="F6" s="5" t="n">
        <v>439280</v>
      </c>
      <c r="G6" s="5" t="n">
        <v>131967</v>
      </c>
      <c r="H6" s="2" t="n">
        <v>4</v>
      </c>
      <c r="I6" s="2" t="n">
        <v>140</v>
      </c>
      <c r="J6" s="2" t="n">
        <v>101</v>
      </c>
      <c r="K6" s="2" t="n">
        <v>10</v>
      </c>
      <c r="L6" s="2" t="n">
        <v>80.09999999999999</v>
      </c>
      <c r="M6" s="2" t="n">
        <v>148</v>
      </c>
      <c r="N6" s="2" t="n">
        <v>17</v>
      </c>
      <c r="O6" s="2" t="n">
        <v>81366</v>
      </c>
      <c r="P6" s="5" t="n">
        <v>307313</v>
      </c>
      <c r="Q6" s="6" t="n">
        <v>69.95834092150793</v>
      </c>
      <c r="R6" s="6" t="n">
        <v>11.62790697674419</v>
      </c>
      <c r="S6" s="6" t="n">
        <v>72.14285714285714</v>
      </c>
    </row>
    <row r="7">
      <c r="A7" s="4" t="n">
        <v>46027</v>
      </c>
      <c r="B7" s="2" t="inlineStr">
        <is>
          <t>Operations</t>
        </is>
      </c>
      <c r="C7" s="2" t="inlineStr">
        <is>
          <t>Delivery</t>
        </is>
      </c>
      <c r="D7" s="2" t="inlineStr">
        <is>
          <t>South</t>
        </is>
      </c>
      <c r="E7" s="2" t="n">
        <v>81</v>
      </c>
      <c r="F7" s="5" t="n">
        <v>159011</v>
      </c>
      <c r="G7" s="5" t="n">
        <v>59914</v>
      </c>
      <c r="H7" s="2" t="n">
        <v>3</v>
      </c>
      <c r="I7" s="2" t="n">
        <v>118</v>
      </c>
      <c r="J7" s="2" t="n">
        <v>118</v>
      </c>
      <c r="K7" s="2" t="n">
        <v>13</v>
      </c>
      <c r="L7" s="2" t="n">
        <v>89.2</v>
      </c>
      <c r="M7" s="2" t="n">
        <v>42</v>
      </c>
      <c r="N7" s="2" t="n">
        <v>13</v>
      </c>
      <c r="O7" s="2" t="n">
        <v>51021</v>
      </c>
      <c r="P7" s="5" t="n">
        <v>99097</v>
      </c>
      <c r="Q7" s="6" t="n">
        <v>62.32084572765406</v>
      </c>
      <c r="R7" s="6" t="n">
        <v>16.04938271604938</v>
      </c>
      <c r="S7" s="6" t="n">
        <v>100</v>
      </c>
    </row>
    <row r="8">
      <c r="A8" s="4" t="n">
        <v>46028</v>
      </c>
      <c r="B8" s="2" t="inlineStr">
        <is>
          <t>Sales</t>
        </is>
      </c>
      <c r="C8" s="2" t="inlineStr">
        <is>
          <t>Delivery</t>
        </is>
      </c>
      <c r="D8" s="2" t="inlineStr">
        <is>
          <t>South</t>
        </is>
      </c>
      <c r="E8" s="2" t="n">
        <v>62</v>
      </c>
      <c r="F8" s="5" t="n">
        <v>231820</v>
      </c>
      <c r="G8" s="5" t="n">
        <v>285502</v>
      </c>
      <c r="H8" s="2" t="n">
        <v>3</v>
      </c>
      <c r="I8" s="2" t="n">
        <v>164</v>
      </c>
      <c r="J8" s="2" t="n">
        <v>120</v>
      </c>
      <c r="K8" s="2" t="n">
        <v>7</v>
      </c>
      <c r="L8" s="2" t="n">
        <v>88.5</v>
      </c>
      <c r="M8" s="2" t="n">
        <v>102</v>
      </c>
      <c r="N8" s="2" t="n">
        <v>53</v>
      </c>
      <c r="O8" s="2" t="n">
        <v>41229</v>
      </c>
      <c r="P8" s="5" t="n">
        <v>-53682</v>
      </c>
      <c r="Q8" s="6" t="n">
        <v>-23.15675955482702</v>
      </c>
      <c r="R8" s="6" t="n">
        <v>11.29032258064516</v>
      </c>
      <c r="S8" s="6" t="n">
        <v>73.17073170731707</v>
      </c>
    </row>
    <row r="9">
      <c r="A9" s="4" t="n">
        <v>46029</v>
      </c>
      <c r="B9" s="2" t="inlineStr">
        <is>
          <t>Operations</t>
        </is>
      </c>
      <c r="C9" s="2" t="inlineStr">
        <is>
          <t>Order Management</t>
        </is>
      </c>
      <c r="D9" s="2" t="inlineStr">
        <is>
          <t>East</t>
        </is>
      </c>
      <c r="E9" s="2" t="n">
        <v>117</v>
      </c>
      <c r="F9" s="5" t="n">
        <v>102506</v>
      </c>
      <c r="G9" s="5" t="n">
        <v>49888</v>
      </c>
      <c r="H9" s="2" t="n">
        <v>3</v>
      </c>
      <c r="I9" s="2" t="n">
        <v>51</v>
      </c>
      <c r="J9" s="2" t="n">
        <v>51</v>
      </c>
      <c r="K9" s="2" t="n">
        <v>11</v>
      </c>
      <c r="L9" s="2" t="n">
        <v>75.09999999999999</v>
      </c>
      <c r="M9" s="2" t="n">
        <v>52</v>
      </c>
      <c r="N9" s="2" t="n">
        <v>39</v>
      </c>
      <c r="O9" s="2" t="n">
        <v>41135</v>
      </c>
      <c r="P9" s="5" t="n">
        <v>52618</v>
      </c>
      <c r="Q9" s="6" t="n">
        <v>51.33162936803699</v>
      </c>
      <c r="R9" s="6" t="n">
        <v>9.401709401709402</v>
      </c>
      <c r="S9" s="6" t="n">
        <v>100</v>
      </c>
    </row>
    <row r="10">
      <c r="A10" s="4" t="n">
        <v>46030</v>
      </c>
      <c r="B10" s="2" t="inlineStr">
        <is>
          <t>Customer Service</t>
        </is>
      </c>
      <c r="C10" s="2" t="inlineStr">
        <is>
          <t>Production</t>
        </is>
      </c>
      <c r="D10" s="2" t="inlineStr">
        <is>
          <t>South</t>
        </is>
      </c>
      <c r="E10" s="2" t="n">
        <v>100</v>
      </c>
      <c r="F10" s="5" t="n">
        <v>75900</v>
      </c>
      <c r="G10" s="5" t="n">
        <v>209504</v>
      </c>
      <c r="H10" s="2" t="n">
        <v>3</v>
      </c>
      <c r="I10" s="2" t="n">
        <v>45</v>
      </c>
      <c r="J10" s="2" t="n">
        <v>45</v>
      </c>
      <c r="K10" s="2" t="n">
        <v>17</v>
      </c>
      <c r="L10" s="2" t="n">
        <v>82.5</v>
      </c>
      <c r="M10" s="2" t="n">
        <v>93</v>
      </c>
      <c r="N10" s="2" t="n">
        <v>57</v>
      </c>
      <c r="O10" s="2" t="n">
        <v>20585</v>
      </c>
      <c r="P10" s="5" t="n">
        <v>-133604</v>
      </c>
      <c r="Q10" s="6" t="n">
        <v>-176.0263504611331</v>
      </c>
      <c r="R10" s="6" t="n">
        <v>17</v>
      </c>
      <c r="S10" s="6" t="n">
        <v>100</v>
      </c>
    </row>
    <row r="11">
      <c r="A11" s="4" t="n">
        <v>46031</v>
      </c>
      <c r="B11" s="2" t="inlineStr">
        <is>
          <t>Sales</t>
        </is>
      </c>
      <c r="C11" s="2" t="inlineStr">
        <is>
          <t>Delivery</t>
        </is>
      </c>
      <c r="D11" s="2" t="inlineStr">
        <is>
          <t>West</t>
        </is>
      </c>
      <c r="E11" s="2" t="n">
        <v>128</v>
      </c>
      <c r="F11" s="5" t="n">
        <v>100790</v>
      </c>
      <c r="G11" s="5" t="n">
        <v>216326</v>
      </c>
      <c r="H11" s="2" t="n">
        <v>4</v>
      </c>
      <c r="I11" s="2" t="n">
        <v>145</v>
      </c>
      <c r="J11" s="2" t="n">
        <v>135</v>
      </c>
      <c r="K11" s="2" t="n">
        <v>3</v>
      </c>
      <c r="L11" s="2" t="n">
        <v>83.8</v>
      </c>
      <c r="M11" s="2" t="n">
        <v>101</v>
      </c>
      <c r="N11" s="2" t="n">
        <v>68</v>
      </c>
      <c r="O11" s="2" t="n">
        <v>77491</v>
      </c>
      <c r="P11" s="5" t="n">
        <v>-115536</v>
      </c>
      <c r="Q11" s="6" t="n">
        <v>-114.6304196844925</v>
      </c>
      <c r="R11" s="6" t="n">
        <v>2.34375</v>
      </c>
      <c r="S11" s="6" t="n">
        <v>93.10344827586206</v>
      </c>
    </row>
    <row r="12">
      <c r="A12" s="4" t="n">
        <v>46032</v>
      </c>
      <c r="B12" s="2" t="inlineStr">
        <is>
          <t>Operations</t>
        </is>
      </c>
      <c r="C12" s="2" t="inlineStr">
        <is>
          <t>Customer Support</t>
        </is>
      </c>
      <c r="D12" s="2" t="inlineStr">
        <is>
          <t>South</t>
        </is>
      </c>
      <c r="E12" s="2" t="n">
        <v>206</v>
      </c>
      <c r="F12" s="5" t="n">
        <v>259808</v>
      </c>
      <c r="G12" s="5" t="n">
        <v>43164</v>
      </c>
      <c r="H12" s="2" t="n">
        <v>3</v>
      </c>
      <c r="I12" s="2" t="n">
        <v>144</v>
      </c>
      <c r="J12" s="2" t="n">
        <v>144</v>
      </c>
      <c r="K12" s="2" t="n">
        <v>8</v>
      </c>
      <c r="L12" s="2" t="n">
        <v>73.09999999999999</v>
      </c>
      <c r="M12" s="2" t="n">
        <v>180</v>
      </c>
      <c r="N12" s="2" t="n">
        <v>32</v>
      </c>
      <c r="O12" s="2" t="n">
        <v>66594</v>
      </c>
      <c r="P12" s="5" t="n">
        <v>216644</v>
      </c>
      <c r="Q12" s="6" t="n">
        <v>83.38619288089666</v>
      </c>
      <c r="R12" s="6" t="n">
        <v>3.883495145631068</v>
      </c>
      <c r="S12" s="6" t="n">
        <v>100</v>
      </c>
    </row>
    <row r="13">
      <c r="A13" s="4" t="n">
        <v>46033</v>
      </c>
      <c r="B13" s="2" t="inlineStr">
        <is>
          <t>Customer Service</t>
        </is>
      </c>
      <c r="C13" s="2" t="inlineStr">
        <is>
          <t>Order Management</t>
        </is>
      </c>
      <c r="D13" s="2" t="inlineStr">
        <is>
          <t>East</t>
        </is>
      </c>
      <c r="E13" s="2" t="n">
        <v>139</v>
      </c>
      <c r="F13" s="5" t="n">
        <v>369931</v>
      </c>
      <c r="G13" s="5" t="n">
        <v>158498</v>
      </c>
      <c r="H13" s="2" t="n">
        <v>7</v>
      </c>
      <c r="I13" s="2" t="n">
        <v>209</v>
      </c>
      <c r="J13" s="2" t="n">
        <v>108</v>
      </c>
      <c r="K13" s="2" t="n">
        <v>5</v>
      </c>
      <c r="L13" s="2" t="n">
        <v>90.5</v>
      </c>
      <c r="M13" s="2" t="n">
        <v>155</v>
      </c>
      <c r="N13" s="2" t="n">
        <v>35</v>
      </c>
      <c r="O13" s="2" t="n">
        <v>29792</v>
      </c>
      <c r="P13" s="5" t="n">
        <v>211433</v>
      </c>
      <c r="Q13" s="6" t="n">
        <v>57.15471263559962</v>
      </c>
      <c r="R13" s="6" t="n">
        <v>3.597122302158273</v>
      </c>
      <c r="S13" s="6" t="n">
        <v>51.67464114832536</v>
      </c>
    </row>
    <row r="14">
      <c r="A14" s="4" t="n">
        <v>46034</v>
      </c>
      <c r="B14" s="2" t="inlineStr">
        <is>
          <t>Sales</t>
        </is>
      </c>
      <c r="C14" s="2" t="inlineStr">
        <is>
          <t>Production</t>
        </is>
      </c>
      <c r="D14" s="2" t="inlineStr">
        <is>
          <t>North</t>
        </is>
      </c>
      <c r="E14" s="2" t="n">
        <v>52</v>
      </c>
      <c r="F14" s="5" t="n">
        <v>437166</v>
      </c>
      <c r="G14" s="5" t="n">
        <v>122448</v>
      </c>
      <c r="H14" s="2" t="n">
        <v>6</v>
      </c>
      <c r="I14" s="2" t="n">
        <v>195</v>
      </c>
      <c r="J14" s="2" t="n">
        <v>105</v>
      </c>
      <c r="K14" s="2" t="n">
        <v>14</v>
      </c>
      <c r="L14" s="2" t="n">
        <v>91.2</v>
      </c>
      <c r="M14" s="2" t="n">
        <v>172</v>
      </c>
      <c r="N14" s="2" t="n">
        <v>37</v>
      </c>
      <c r="O14" s="2" t="n">
        <v>40743</v>
      </c>
      <c r="P14" s="5" t="n">
        <v>314718</v>
      </c>
      <c r="Q14" s="6" t="n">
        <v>71.99050246359506</v>
      </c>
      <c r="R14" s="6" t="n">
        <v>26.92307692307692</v>
      </c>
      <c r="S14" s="6" t="n">
        <v>53.84615384615385</v>
      </c>
    </row>
    <row r="15">
      <c r="A15" s="4" t="n">
        <v>46035</v>
      </c>
      <c r="B15" s="2" t="inlineStr">
        <is>
          <t>Customer Service</t>
        </is>
      </c>
      <c r="C15" s="2" t="inlineStr">
        <is>
          <t>Order Management</t>
        </is>
      </c>
      <c r="D15" s="2" t="inlineStr">
        <is>
          <t>West</t>
        </is>
      </c>
      <c r="E15" s="2" t="n">
        <v>98</v>
      </c>
      <c r="F15" s="5" t="n">
        <v>411999</v>
      </c>
      <c r="G15" s="5" t="n">
        <v>236077</v>
      </c>
      <c r="H15" s="2" t="n">
        <v>1</v>
      </c>
      <c r="I15" s="2" t="n">
        <v>214</v>
      </c>
      <c r="J15" s="2" t="n">
        <v>208</v>
      </c>
      <c r="K15" s="2" t="n">
        <v>3</v>
      </c>
      <c r="L15" s="2" t="n">
        <v>80.40000000000001</v>
      </c>
      <c r="M15" s="2" t="n">
        <v>137</v>
      </c>
      <c r="N15" s="2" t="n">
        <v>79</v>
      </c>
      <c r="O15" s="2" t="n">
        <v>77148</v>
      </c>
      <c r="P15" s="5" t="n">
        <v>175922</v>
      </c>
      <c r="Q15" s="6" t="n">
        <v>42.6996182029568</v>
      </c>
      <c r="R15" s="6" t="n">
        <v>3.061224489795918</v>
      </c>
      <c r="S15" s="6" t="n">
        <v>97.19626168224299</v>
      </c>
    </row>
    <row r="16">
      <c r="A16" s="4" t="n">
        <v>46036</v>
      </c>
      <c r="B16" s="2" t="inlineStr">
        <is>
          <t>Operations</t>
        </is>
      </c>
      <c r="C16" s="2" t="inlineStr">
        <is>
          <t>Delivery</t>
        </is>
      </c>
      <c r="D16" s="2" t="inlineStr">
        <is>
          <t>East</t>
        </is>
      </c>
      <c r="E16" s="2" t="n">
        <v>213</v>
      </c>
      <c r="F16" s="5" t="n">
        <v>253273</v>
      </c>
      <c r="G16" s="5" t="n">
        <v>195970</v>
      </c>
      <c r="H16" s="2" t="n">
        <v>5</v>
      </c>
      <c r="I16" s="2" t="n">
        <v>97</v>
      </c>
      <c r="J16" s="2" t="n">
        <v>75</v>
      </c>
      <c r="K16" s="2" t="n">
        <v>3</v>
      </c>
      <c r="L16" s="2" t="n">
        <v>91.7</v>
      </c>
      <c r="M16" s="2" t="n">
        <v>74</v>
      </c>
      <c r="N16" s="2" t="n">
        <v>63</v>
      </c>
      <c r="O16" s="2" t="n">
        <v>62224</v>
      </c>
      <c r="P16" s="5" t="n">
        <v>57303</v>
      </c>
      <c r="Q16" s="6" t="n">
        <v>22.62499358399829</v>
      </c>
      <c r="R16" s="6" t="n">
        <v>1.408450704225352</v>
      </c>
      <c r="S16" s="6" t="n">
        <v>77.31958762886599</v>
      </c>
    </row>
    <row r="17">
      <c r="A17" s="4" t="n">
        <v>46037</v>
      </c>
      <c r="B17" s="2" t="inlineStr">
        <is>
          <t>Customer Service</t>
        </is>
      </c>
      <c r="C17" s="2" t="inlineStr">
        <is>
          <t>Delivery</t>
        </is>
      </c>
      <c r="D17" s="2" t="inlineStr">
        <is>
          <t>North</t>
        </is>
      </c>
      <c r="E17" s="2" t="n">
        <v>175</v>
      </c>
      <c r="F17" s="5" t="n">
        <v>448478</v>
      </c>
      <c r="G17" s="5" t="n">
        <v>278503</v>
      </c>
      <c r="H17" s="2" t="n">
        <v>4</v>
      </c>
      <c r="I17" s="2" t="n">
        <v>55</v>
      </c>
      <c r="J17" s="2" t="n">
        <v>55</v>
      </c>
      <c r="K17" s="2" t="n">
        <v>17</v>
      </c>
      <c r="L17" s="2" t="n">
        <v>91.3</v>
      </c>
      <c r="M17" s="2" t="n">
        <v>29</v>
      </c>
      <c r="N17" s="2" t="n">
        <v>61</v>
      </c>
      <c r="O17" s="2" t="n">
        <v>20642</v>
      </c>
      <c r="P17" s="5" t="n">
        <v>169975</v>
      </c>
      <c r="Q17" s="6" t="n">
        <v>37.90040983058255</v>
      </c>
      <c r="R17" s="6" t="n">
        <v>9.714285714285714</v>
      </c>
      <c r="S17" s="6" t="n">
        <v>100</v>
      </c>
    </row>
    <row r="18">
      <c r="A18" s="4" t="n">
        <v>46038</v>
      </c>
      <c r="B18" s="2" t="inlineStr">
        <is>
          <t>Sales</t>
        </is>
      </c>
      <c r="C18" s="2" t="inlineStr">
        <is>
          <t>Order Management</t>
        </is>
      </c>
      <c r="D18" s="2" t="inlineStr">
        <is>
          <t>West</t>
        </is>
      </c>
      <c r="E18" s="2" t="n">
        <v>117</v>
      </c>
      <c r="F18" s="5" t="n">
        <v>119376</v>
      </c>
      <c r="G18" s="5" t="n">
        <v>136760</v>
      </c>
      <c r="H18" s="2" t="n">
        <v>6</v>
      </c>
      <c r="I18" s="2" t="n">
        <v>182</v>
      </c>
      <c r="J18" s="2" t="n">
        <v>38</v>
      </c>
      <c r="K18" s="2" t="n">
        <v>8</v>
      </c>
      <c r="L18" s="2" t="n">
        <v>91.5</v>
      </c>
      <c r="M18" s="2" t="n">
        <v>36</v>
      </c>
      <c r="N18" s="2" t="n">
        <v>12</v>
      </c>
      <c r="O18" s="2" t="n">
        <v>13902</v>
      </c>
      <c r="P18" s="5" t="n">
        <v>-17384</v>
      </c>
      <c r="Q18" s="6" t="n">
        <v>-14.56239110038869</v>
      </c>
      <c r="R18" s="6" t="n">
        <v>6.837606837606838</v>
      </c>
      <c r="S18" s="6" t="n">
        <v>20.87912087912088</v>
      </c>
    </row>
    <row r="19">
      <c r="A19" s="4" t="n">
        <v>46039</v>
      </c>
      <c r="B19" s="2" t="inlineStr">
        <is>
          <t>Operations</t>
        </is>
      </c>
      <c r="C19" s="2" t="inlineStr">
        <is>
          <t>Delivery</t>
        </is>
      </c>
      <c r="D19" s="2" t="inlineStr">
        <is>
          <t>South</t>
        </is>
      </c>
      <c r="E19" s="2" t="n">
        <v>56</v>
      </c>
      <c r="F19" s="5" t="n">
        <v>110022</v>
      </c>
      <c r="G19" s="5" t="n">
        <v>206705</v>
      </c>
      <c r="H19" s="2" t="n">
        <v>6</v>
      </c>
      <c r="I19" s="2" t="n">
        <v>145</v>
      </c>
      <c r="J19" s="2" t="n">
        <v>113</v>
      </c>
      <c r="K19" s="2" t="n">
        <v>19</v>
      </c>
      <c r="L19" s="2" t="n">
        <v>71.09999999999999</v>
      </c>
      <c r="M19" s="2" t="n">
        <v>115</v>
      </c>
      <c r="N19" s="2" t="n">
        <v>55</v>
      </c>
      <c r="O19" s="2" t="n">
        <v>71892</v>
      </c>
      <c r="P19" s="5" t="n">
        <v>-96683</v>
      </c>
      <c r="Q19" s="6" t="n">
        <v>-87.87606115140608</v>
      </c>
      <c r="R19" s="6" t="n">
        <v>33.92857142857143</v>
      </c>
      <c r="S19" s="6" t="n">
        <v>77.93103448275862</v>
      </c>
    </row>
    <row r="20">
      <c r="A20" s="4" t="n">
        <v>46040</v>
      </c>
      <c r="B20" s="2" t="inlineStr">
        <is>
          <t>Operations</t>
        </is>
      </c>
      <c r="C20" s="2" t="inlineStr">
        <is>
          <t>Customer Support</t>
        </is>
      </c>
      <c r="D20" s="2" t="inlineStr">
        <is>
          <t>West</t>
        </is>
      </c>
      <c r="E20" s="2" t="n">
        <v>61</v>
      </c>
      <c r="F20" s="5" t="n">
        <v>175566</v>
      </c>
      <c r="G20" s="5" t="n">
        <v>260081</v>
      </c>
      <c r="H20" s="2" t="n">
        <v>1</v>
      </c>
      <c r="I20" s="2" t="n">
        <v>68</v>
      </c>
      <c r="J20" s="2" t="n">
        <v>68</v>
      </c>
      <c r="K20" s="2" t="n">
        <v>17</v>
      </c>
      <c r="L20" s="2" t="n">
        <v>86.40000000000001</v>
      </c>
      <c r="M20" s="2" t="n">
        <v>112</v>
      </c>
      <c r="N20" s="2" t="n">
        <v>77</v>
      </c>
      <c r="O20" s="2" t="n">
        <v>14901</v>
      </c>
      <c r="P20" s="5" t="n">
        <v>-84515</v>
      </c>
      <c r="Q20" s="6" t="n">
        <v>-48.13859175466776</v>
      </c>
      <c r="R20" s="6" t="n">
        <v>27.86885245901639</v>
      </c>
      <c r="S20" s="6" t="n">
        <v>100</v>
      </c>
    </row>
    <row r="21">
      <c r="A21" s="4" t="n">
        <v>46041</v>
      </c>
      <c r="B21" s="2" t="inlineStr">
        <is>
          <t>Sales</t>
        </is>
      </c>
      <c r="C21" s="2" t="inlineStr">
        <is>
          <t>Delivery</t>
        </is>
      </c>
      <c r="D21" s="2" t="inlineStr">
        <is>
          <t>West</t>
        </is>
      </c>
      <c r="E21" s="2" t="n">
        <v>66</v>
      </c>
      <c r="F21" s="5" t="n">
        <v>86872</v>
      </c>
      <c r="G21" s="5" t="n">
        <v>154527</v>
      </c>
      <c r="H21" s="2" t="n">
        <v>5</v>
      </c>
      <c r="I21" s="2" t="n">
        <v>179</v>
      </c>
      <c r="J21" s="2" t="n">
        <v>99</v>
      </c>
      <c r="K21" s="2" t="n">
        <v>6</v>
      </c>
      <c r="L21" s="2" t="n">
        <v>70.3</v>
      </c>
      <c r="M21" s="2" t="n">
        <v>133</v>
      </c>
      <c r="N21" s="2" t="n">
        <v>40</v>
      </c>
      <c r="O21" s="2" t="n">
        <v>31481</v>
      </c>
      <c r="P21" s="5" t="n">
        <v>-67655</v>
      </c>
      <c r="Q21" s="6" t="n">
        <v>-77.87894833778432</v>
      </c>
      <c r="R21" s="6" t="n">
        <v>9.090909090909092</v>
      </c>
      <c r="S21" s="6" t="n">
        <v>55.3072625698324</v>
      </c>
    </row>
    <row r="22">
      <c r="A22" s="4" t="n">
        <v>46042</v>
      </c>
      <c r="B22" s="2" t="inlineStr">
        <is>
          <t>Customer Service</t>
        </is>
      </c>
      <c r="C22" s="2" t="inlineStr">
        <is>
          <t>Order Management</t>
        </is>
      </c>
      <c r="D22" s="2" t="inlineStr">
        <is>
          <t>East</t>
        </is>
      </c>
      <c r="E22" s="2" t="n">
        <v>186</v>
      </c>
      <c r="F22" s="5" t="n">
        <v>413552</v>
      </c>
      <c r="G22" s="5" t="n">
        <v>220676</v>
      </c>
      <c r="H22" s="2" t="n">
        <v>5</v>
      </c>
      <c r="I22" s="2" t="n">
        <v>45</v>
      </c>
      <c r="J22" s="2" t="n">
        <v>45</v>
      </c>
      <c r="K22" s="2" t="n">
        <v>14</v>
      </c>
      <c r="L22" s="2" t="n">
        <v>68.7</v>
      </c>
      <c r="M22" s="2" t="n">
        <v>133</v>
      </c>
      <c r="N22" s="2" t="n">
        <v>57</v>
      </c>
      <c r="O22" s="2" t="n">
        <v>52463</v>
      </c>
      <c r="P22" s="5" t="n">
        <v>192876</v>
      </c>
      <c r="Q22" s="6" t="n">
        <v>46.63887491778543</v>
      </c>
      <c r="R22" s="6" t="n">
        <v>7.526881720430108</v>
      </c>
      <c r="S22" s="6" t="n">
        <v>100</v>
      </c>
    </row>
    <row r="23">
      <c r="A23" s="4" t="n">
        <v>46043</v>
      </c>
      <c r="B23" s="2" t="inlineStr">
        <is>
          <t>Operations</t>
        </is>
      </c>
      <c r="C23" s="2" t="inlineStr">
        <is>
          <t>Customer Support</t>
        </is>
      </c>
      <c r="D23" s="2" t="inlineStr">
        <is>
          <t>North</t>
        </is>
      </c>
      <c r="E23" s="2" t="n">
        <v>91</v>
      </c>
      <c r="F23" s="5" t="n">
        <v>150349</v>
      </c>
      <c r="G23" s="5" t="n">
        <v>258094</v>
      </c>
      <c r="H23" s="2" t="n">
        <v>1</v>
      </c>
      <c r="I23" s="2" t="n">
        <v>200</v>
      </c>
      <c r="J23" s="2" t="n">
        <v>59</v>
      </c>
      <c r="K23" s="2" t="n">
        <v>11</v>
      </c>
      <c r="L23" s="2" t="n">
        <v>83.40000000000001</v>
      </c>
      <c r="M23" s="2" t="n">
        <v>138</v>
      </c>
      <c r="N23" s="2" t="n">
        <v>20</v>
      </c>
      <c r="O23" s="2" t="n">
        <v>32588</v>
      </c>
      <c r="P23" s="5" t="n">
        <v>-107745</v>
      </c>
      <c r="Q23" s="6" t="n">
        <v>-71.66326347365131</v>
      </c>
      <c r="R23" s="6" t="n">
        <v>12.08791208791209</v>
      </c>
      <c r="S23" s="6" t="n">
        <v>29.5</v>
      </c>
    </row>
    <row r="24">
      <c r="A24" s="4" t="n">
        <v>46044</v>
      </c>
      <c r="B24" s="2" t="inlineStr">
        <is>
          <t>Customer Service</t>
        </is>
      </c>
      <c r="C24" s="2" t="inlineStr">
        <is>
          <t>Customer Support</t>
        </is>
      </c>
      <c r="D24" s="2" t="inlineStr">
        <is>
          <t>South</t>
        </is>
      </c>
      <c r="E24" s="2" t="n">
        <v>112</v>
      </c>
      <c r="F24" s="5" t="n">
        <v>96486</v>
      </c>
      <c r="G24" s="5" t="n">
        <v>122742</v>
      </c>
      <c r="H24" s="2" t="n">
        <v>6</v>
      </c>
      <c r="I24" s="2" t="n">
        <v>183</v>
      </c>
      <c r="J24" s="2" t="n">
        <v>125</v>
      </c>
      <c r="K24" s="2" t="n">
        <v>15</v>
      </c>
      <c r="L24" s="2" t="n">
        <v>78.09999999999999</v>
      </c>
      <c r="M24" s="2" t="n">
        <v>49</v>
      </c>
      <c r="N24" s="2" t="n">
        <v>60</v>
      </c>
      <c r="O24" s="2" t="n">
        <v>59262</v>
      </c>
      <c r="P24" s="5" t="n">
        <v>-26256</v>
      </c>
      <c r="Q24" s="6" t="n">
        <v>-27.21223804489771</v>
      </c>
      <c r="R24" s="6" t="n">
        <v>13.39285714285714</v>
      </c>
      <c r="S24" s="6" t="n">
        <v>68.30601092896174</v>
      </c>
    </row>
    <row r="25">
      <c r="A25" s="4" t="n">
        <v>46045</v>
      </c>
      <c r="B25" s="2" t="inlineStr">
        <is>
          <t>Sales</t>
        </is>
      </c>
      <c r="C25" s="2" t="inlineStr">
        <is>
          <t>Customer Support</t>
        </is>
      </c>
      <c r="D25" s="2" t="inlineStr">
        <is>
          <t>North</t>
        </is>
      </c>
      <c r="E25" s="2" t="n">
        <v>121</v>
      </c>
      <c r="F25" s="5" t="n">
        <v>130944</v>
      </c>
      <c r="G25" s="5" t="n">
        <v>117250</v>
      </c>
      <c r="H25" s="2" t="n">
        <v>3</v>
      </c>
      <c r="I25" s="2" t="n">
        <v>173</v>
      </c>
      <c r="J25" s="2" t="n">
        <v>104</v>
      </c>
      <c r="K25" s="2" t="n">
        <v>3</v>
      </c>
      <c r="L25" s="2" t="n">
        <v>78.8</v>
      </c>
      <c r="M25" s="2" t="n">
        <v>121</v>
      </c>
      <c r="N25" s="2" t="n">
        <v>59</v>
      </c>
      <c r="O25" s="2" t="n">
        <v>53455</v>
      </c>
      <c r="P25" s="5" t="n">
        <v>13694</v>
      </c>
      <c r="Q25" s="6" t="n">
        <v>10.45790566959922</v>
      </c>
      <c r="R25" s="6" t="n">
        <v>2.479338842975207</v>
      </c>
      <c r="S25" s="6" t="n">
        <v>60.11560693641619</v>
      </c>
    </row>
    <row r="26">
      <c r="A26" s="4" t="n">
        <v>46046</v>
      </c>
      <c r="B26" s="2" t="inlineStr">
        <is>
          <t>Sales</t>
        </is>
      </c>
      <c r="C26" s="2" t="inlineStr">
        <is>
          <t>Customer Support</t>
        </is>
      </c>
      <c r="D26" s="2" t="inlineStr">
        <is>
          <t>East</t>
        </is>
      </c>
      <c r="E26" s="2" t="n">
        <v>165</v>
      </c>
      <c r="F26" s="5" t="n">
        <v>283954</v>
      </c>
      <c r="G26" s="5" t="n">
        <v>134381</v>
      </c>
      <c r="H26" s="2" t="n">
        <v>4</v>
      </c>
      <c r="I26" s="2" t="n">
        <v>146</v>
      </c>
      <c r="J26" s="2" t="n">
        <v>82</v>
      </c>
      <c r="K26" s="2" t="n">
        <v>5</v>
      </c>
      <c r="L26" s="2" t="n">
        <v>80.2</v>
      </c>
      <c r="M26" s="2" t="n">
        <v>126</v>
      </c>
      <c r="N26" s="2" t="n">
        <v>70</v>
      </c>
      <c r="O26" s="2" t="n">
        <v>76621</v>
      </c>
      <c r="P26" s="5" t="n">
        <v>149573</v>
      </c>
      <c r="Q26" s="6" t="n">
        <v>52.67508117511991</v>
      </c>
      <c r="R26" s="6" t="n">
        <v>3.03030303030303</v>
      </c>
      <c r="S26" s="6" t="n">
        <v>56.16438356164384</v>
      </c>
    </row>
    <row r="27">
      <c r="A27" s="4" t="n">
        <v>46047</v>
      </c>
      <c r="B27" s="2" t="inlineStr">
        <is>
          <t>Customer Service</t>
        </is>
      </c>
      <c r="C27" s="2" t="inlineStr">
        <is>
          <t>Customer Support</t>
        </is>
      </c>
      <c r="D27" s="2" t="inlineStr">
        <is>
          <t>East</t>
        </is>
      </c>
      <c r="E27" s="2" t="n">
        <v>102</v>
      </c>
      <c r="F27" s="5" t="n">
        <v>93318</v>
      </c>
      <c r="G27" s="5" t="n">
        <v>211211</v>
      </c>
      <c r="H27" s="2" t="n">
        <v>6</v>
      </c>
      <c r="I27" s="2" t="n">
        <v>192</v>
      </c>
      <c r="J27" s="2" t="n">
        <v>136</v>
      </c>
      <c r="K27" s="2" t="n">
        <v>6</v>
      </c>
      <c r="L27" s="2" t="n">
        <v>78.8</v>
      </c>
      <c r="M27" s="2" t="n">
        <v>133</v>
      </c>
      <c r="N27" s="2" t="n">
        <v>39</v>
      </c>
      <c r="O27" s="2" t="n">
        <v>77450</v>
      </c>
      <c r="P27" s="5" t="n">
        <v>-117893</v>
      </c>
      <c r="Q27" s="6" t="n">
        <v>-126.3346835551555</v>
      </c>
      <c r="R27" s="6" t="n">
        <v>5.88235294117647</v>
      </c>
      <c r="S27" s="6" t="n">
        <v>70.83333333333334</v>
      </c>
    </row>
    <row r="28">
      <c r="A28" s="4" t="n">
        <v>46048</v>
      </c>
      <c r="B28" s="2" t="inlineStr">
        <is>
          <t>Operations</t>
        </is>
      </c>
      <c r="C28" s="2" t="inlineStr">
        <is>
          <t>Delivery</t>
        </is>
      </c>
      <c r="D28" s="2" t="inlineStr">
        <is>
          <t>West</t>
        </is>
      </c>
      <c r="E28" s="2" t="n">
        <v>82</v>
      </c>
      <c r="F28" s="5" t="n">
        <v>95797</v>
      </c>
      <c r="G28" s="5" t="n">
        <v>174920</v>
      </c>
      <c r="H28" s="2" t="n">
        <v>1</v>
      </c>
      <c r="I28" s="2" t="n">
        <v>174</v>
      </c>
      <c r="J28" s="2" t="n">
        <v>94</v>
      </c>
      <c r="K28" s="2" t="n">
        <v>12</v>
      </c>
      <c r="L28" s="2" t="n">
        <v>81.09999999999999</v>
      </c>
      <c r="M28" s="2" t="n">
        <v>170</v>
      </c>
      <c r="N28" s="2" t="n">
        <v>45</v>
      </c>
      <c r="O28" s="2" t="n">
        <v>17253</v>
      </c>
      <c r="P28" s="5" t="n">
        <v>-79123</v>
      </c>
      <c r="Q28" s="6" t="n">
        <v>-82.59444450243745</v>
      </c>
      <c r="R28" s="6" t="n">
        <v>14.63414634146341</v>
      </c>
      <c r="S28" s="6" t="n">
        <v>54.02298850574713</v>
      </c>
    </row>
    <row r="29">
      <c r="A29" s="4" t="n">
        <v>46049</v>
      </c>
      <c r="B29" s="2" t="inlineStr">
        <is>
          <t>Operations</t>
        </is>
      </c>
      <c r="C29" s="2" t="inlineStr">
        <is>
          <t>Order Management</t>
        </is>
      </c>
      <c r="D29" s="2" t="inlineStr">
        <is>
          <t>West</t>
        </is>
      </c>
      <c r="E29" s="2" t="n">
        <v>129</v>
      </c>
      <c r="F29" s="5" t="n">
        <v>237555</v>
      </c>
      <c r="G29" s="5" t="n">
        <v>174879</v>
      </c>
      <c r="H29" s="2" t="n">
        <v>4</v>
      </c>
      <c r="I29" s="2" t="n">
        <v>199</v>
      </c>
      <c r="J29" s="2" t="n">
        <v>199</v>
      </c>
      <c r="K29" s="2" t="n">
        <v>15</v>
      </c>
      <c r="L29" s="2" t="n">
        <v>93.8</v>
      </c>
      <c r="M29" s="2" t="n">
        <v>76</v>
      </c>
      <c r="N29" s="2" t="n">
        <v>19</v>
      </c>
      <c r="O29" s="2" t="n">
        <v>63161</v>
      </c>
      <c r="P29" s="5" t="n">
        <v>62676</v>
      </c>
      <c r="Q29" s="6" t="n">
        <v>26.38378480772874</v>
      </c>
      <c r="R29" s="6" t="n">
        <v>11.62790697674419</v>
      </c>
      <c r="S29" s="6" t="n">
        <v>100</v>
      </c>
    </row>
    <row r="30">
      <c r="A30" s="4" t="n">
        <v>46050</v>
      </c>
      <c r="B30" s="2" t="inlineStr">
        <is>
          <t>Customer Service</t>
        </is>
      </c>
      <c r="C30" s="2" t="inlineStr">
        <is>
          <t>Production</t>
        </is>
      </c>
      <c r="D30" s="2" t="inlineStr">
        <is>
          <t>North</t>
        </is>
      </c>
      <c r="E30" s="2" t="n">
        <v>206</v>
      </c>
      <c r="F30" s="5" t="n">
        <v>372980</v>
      </c>
      <c r="G30" s="5" t="n">
        <v>293154</v>
      </c>
      <c r="H30" s="2" t="n">
        <v>3</v>
      </c>
      <c r="I30" s="2" t="n">
        <v>151</v>
      </c>
      <c r="J30" s="2" t="n">
        <v>126</v>
      </c>
      <c r="K30" s="2" t="n">
        <v>9</v>
      </c>
      <c r="L30" s="2" t="n">
        <v>91.59999999999999</v>
      </c>
      <c r="M30" s="2" t="n">
        <v>111</v>
      </c>
      <c r="N30" s="2" t="n">
        <v>68</v>
      </c>
      <c r="O30" s="2" t="n">
        <v>36130</v>
      </c>
      <c r="P30" s="5" t="n">
        <v>79826</v>
      </c>
      <c r="Q30" s="6" t="n">
        <v>21.4022199581747</v>
      </c>
      <c r="R30" s="6" t="n">
        <v>4.368932038834951</v>
      </c>
      <c r="S30" s="6" t="n">
        <v>83.44370860927152</v>
      </c>
    </row>
    <row r="31">
      <c r="A31" s="4" t="n">
        <v>46051</v>
      </c>
      <c r="B31" s="2" t="inlineStr">
        <is>
          <t>Sales</t>
        </is>
      </c>
      <c r="C31" s="2" t="inlineStr">
        <is>
          <t>Order Management</t>
        </is>
      </c>
      <c r="D31" s="2" t="inlineStr">
        <is>
          <t>East</t>
        </is>
      </c>
      <c r="E31" s="2" t="n">
        <v>106</v>
      </c>
      <c r="F31" s="5" t="n">
        <v>446986</v>
      </c>
      <c r="G31" s="5" t="n">
        <v>292535</v>
      </c>
      <c r="H31" s="2" t="n">
        <v>6</v>
      </c>
      <c r="I31" s="2" t="n">
        <v>113</v>
      </c>
      <c r="J31" s="2" t="n">
        <v>113</v>
      </c>
      <c r="K31" s="2" t="n">
        <v>13</v>
      </c>
      <c r="L31" s="2" t="n">
        <v>95.3</v>
      </c>
      <c r="M31" s="2" t="n">
        <v>65</v>
      </c>
      <c r="N31" s="2" t="n">
        <v>73</v>
      </c>
      <c r="O31" s="2" t="n">
        <v>10191</v>
      </c>
      <c r="P31" s="5" t="n">
        <v>154451</v>
      </c>
      <c r="Q31" s="6" t="n">
        <v>34.55387864496874</v>
      </c>
      <c r="R31" s="6" t="n">
        <v>12.26415094339623</v>
      </c>
      <c r="S31" s="6" t="n">
        <v>100</v>
      </c>
    </row>
    <row r="32">
      <c r="A32" s="4" t="n">
        <v>46052</v>
      </c>
      <c r="B32" s="2" t="inlineStr">
        <is>
          <t>Customer Service</t>
        </is>
      </c>
      <c r="C32" s="2" t="inlineStr">
        <is>
          <t>Delivery</t>
        </is>
      </c>
      <c r="D32" s="2" t="inlineStr">
        <is>
          <t>East</t>
        </is>
      </c>
      <c r="E32" s="2" t="n">
        <v>180</v>
      </c>
      <c r="F32" s="5" t="n">
        <v>271916</v>
      </c>
      <c r="G32" s="5" t="n">
        <v>97304</v>
      </c>
      <c r="H32" s="2" t="n">
        <v>7</v>
      </c>
      <c r="I32" s="2" t="n">
        <v>216</v>
      </c>
      <c r="J32" s="2" t="n">
        <v>150</v>
      </c>
      <c r="K32" s="2" t="n">
        <v>19</v>
      </c>
      <c r="L32" s="2" t="n">
        <v>94.2</v>
      </c>
      <c r="M32" s="2" t="n">
        <v>170</v>
      </c>
      <c r="N32" s="2" t="n">
        <v>82</v>
      </c>
      <c r="O32" s="2" t="n">
        <v>27327</v>
      </c>
      <c r="P32" s="5" t="n">
        <v>174612</v>
      </c>
      <c r="Q32" s="6" t="n">
        <v>64.21541946777681</v>
      </c>
      <c r="R32" s="6" t="n">
        <v>10.55555555555556</v>
      </c>
      <c r="S32" s="6" t="n">
        <v>69.44444444444444</v>
      </c>
    </row>
    <row r="33">
      <c r="A33" s="4" t="n">
        <v>46053</v>
      </c>
      <c r="B33" s="2" t="inlineStr">
        <is>
          <t>Operations</t>
        </is>
      </c>
      <c r="C33" s="2" t="inlineStr">
        <is>
          <t>Delivery</t>
        </is>
      </c>
      <c r="D33" s="2" t="inlineStr">
        <is>
          <t>South</t>
        </is>
      </c>
      <c r="E33" s="2" t="n">
        <v>130</v>
      </c>
      <c r="F33" s="5" t="n">
        <v>439262</v>
      </c>
      <c r="G33" s="5" t="n">
        <v>80342</v>
      </c>
      <c r="H33" s="2" t="n">
        <v>7</v>
      </c>
      <c r="I33" s="2" t="n">
        <v>183</v>
      </c>
      <c r="J33" s="2" t="n">
        <v>102</v>
      </c>
      <c r="K33" s="2" t="n">
        <v>16</v>
      </c>
      <c r="L33" s="2" t="n">
        <v>92.90000000000001</v>
      </c>
      <c r="M33" s="2" t="n">
        <v>128</v>
      </c>
      <c r="N33" s="2" t="n">
        <v>35</v>
      </c>
      <c r="O33" s="2" t="n">
        <v>57050</v>
      </c>
      <c r="P33" s="5" t="n">
        <v>358920</v>
      </c>
      <c r="Q33" s="6" t="n">
        <v>81.70977685299434</v>
      </c>
      <c r="R33" s="6" t="n">
        <v>12.30769230769231</v>
      </c>
      <c r="S33" s="6" t="n">
        <v>55.73770491803278</v>
      </c>
    </row>
    <row r="34">
      <c r="A34" s="4" t="n">
        <v>46054</v>
      </c>
      <c r="B34" s="2" t="inlineStr">
        <is>
          <t>Operations</t>
        </is>
      </c>
      <c r="C34" s="2" t="inlineStr">
        <is>
          <t>Order Management</t>
        </is>
      </c>
      <c r="D34" s="2" t="inlineStr">
        <is>
          <t>North</t>
        </is>
      </c>
      <c r="E34" s="2" t="n">
        <v>139</v>
      </c>
      <c r="F34" s="5" t="n">
        <v>146580</v>
      </c>
      <c r="G34" s="5" t="n">
        <v>191828</v>
      </c>
      <c r="H34" s="2" t="n">
        <v>5</v>
      </c>
      <c r="I34" s="2" t="n">
        <v>40</v>
      </c>
      <c r="J34" s="2" t="n">
        <v>40</v>
      </c>
      <c r="K34" s="2" t="n">
        <v>12</v>
      </c>
      <c r="L34" s="2" t="n">
        <v>89.2</v>
      </c>
      <c r="M34" s="2" t="n">
        <v>61</v>
      </c>
      <c r="N34" s="2" t="n">
        <v>45</v>
      </c>
      <c r="O34" s="2" t="n">
        <v>47741</v>
      </c>
      <c r="P34" s="5" t="n">
        <v>-45248</v>
      </c>
      <c r="Q34" s="6" t="n">
        <v>-30.86914995224451</v>
      </c>
      <c r="R34" s="6" t="n">
        <v>8.633093525179856</v>
      </c>
      <c r="S34" s="6" t="n">
        <v>100</v>
      </c>
    </row>
    <row r="35">
      <c r="A35" s="4" t="n">
        <v>46055</v>
      </c>
      <c r="B35" s="2" t="inlineStr">
        <is>
          <t>Marketing</t>
        </is>
      </c>
      <c r="C35" s="2" t="inlineStr">
        <is>
          <t>Delivery</t>
        </is>
      </c>
      <c r="D35" s="2" t="inlineStr">
        <is>
          <t>South</t>
        </is>
      </c>
      <c r="E35" s="2" t="n">
        <v>52</v>
      </c>
      <c r="F35" s="5" t="n">
        <v>234267</v>
      </c>
      <c r="G35" s="5" t="n">
        <v>158897</v>
      </c>
      <c r="H35" s="2" t="n">
        <v>5</v>
      </c>
      <c r="I35" s="2" t="n">
        <v>57</v>
      </c>
      <c r="J35" s="2" t="n">
        <v>57</v>
      </c>
      <c r="K35" s="2" t="n">
        <v>16</v>
      </c>
      <c r="L35" s="2" t="n">
        <v>90</v>
      </c>
      <c r="M35" s="2" t="n">
        <v>103</v>
      </c>
      <c r="N35" s="2" t="n">
        <v>73</v>
      </c>
      <c r="O35" s="2" t="n">
        <v>53348</v>
      </c>
      <c r="P35" s="5" t="n">
        <v>75370</v>
      </c>
      <c r="Q35" s="6" t="n">
        <v>32.17269184306795</v>
      </c>
      <c r="R35" s="6" t="n">
        <v>30.76923076923077</v>
      </c>
      <c r="S35" s="6" t="n">
        <v>100</v>
      </c>
    </row>
    <row r="36">
      <c r="A36" s="4" t="n">
        <v>46056</v>
      </c>
      <c r="B36" s="2" t="inlineStr">
        <is>
          <t>Customer Service</t>
        </is>
      </c>
      <c r="C36" s="2" t="inlineStr">
        <is>
          <t>Customer Support</t>
        </is>
      </c>
      <c r="D36" s="2" t="inlineStr">
        <is>
          <t>North</t>
        </is>
      </c>
      <c r="E36" s="2" t="n">
        <v>211</v>
      </c>
      <c r="F36" s="5" t="n">
        <v>193841</v>
      </c>
      <c r="G36" s="5" t="n">
        <v>104979</v>
      </c>
      <c r="H36" s="2" t="n">
        <v>6</v>
      </c>
      <c r="I36" s="2" t="n">
        <v>211</v>
      </c>
      <c r="J36" s="2" t="n">
        <v>193</v>
      </c>
      <c r="K36" s="2" t="n">
        <v>2</v>
      </c>
      <c r="L36" s="2" t="n">
        <v>94.09999999999999</v>
      </c>
      <c r="M36" s="2" t="n">
        <v>81</v>
      </c>
      <c r="N36" s="2" t="n">
        <v>9</v>
      </c>
      <c r="O36" s="2" t="n">
        <v>52383</v>
      </c>
      <c r="P36" s="5" t="n">
        <v>88862</v>
      </c>
      <c r="Q36" s="6" t="n">
        <v>45.84272677091018</v>
      </c>
      <c r="R36" s="6" t="n">
        <v>0.9478672985781991</v>
      </c>
      <c r="S36" s="6" t="n">
        <v>91.4691943127962</v>
      </c>
    </row>
    <row r="37">
      <c r="A37" s="4" t="n">
        <v>46057</v>
      </c>
      <c r="B37" s="2" t="inlineStr">
        <is>
          <t>Marketing</t>
        </is>
      </c>
      <c r="C37" s="2" t="inlineStr">
        <is>
          <t>Delivery</t>
        </is>
      </c>
      <c r="D37" s="2" t="inlineStr">
        <is>
          <t>South</t>
        </is>
      </c>
      <c r="E37" s="2" t="n">
        <v>178</v>
      </c>
      <c r="F37" s="5" t="n">
        <v>293417</v>
      </c>
      <c r="G37" s="5" t="n">
        <v>262169</v>
      </c>
      <c r="H37" s="2" t="n">
        <v>2</v>
      </c>
      <c r="I37" s="2" t="n">
        <v>93</v>
      </c>
      <c r="J37" s="2" t="n">
        <v>51</v>
      </c>
      <c r="K37" s="2" t="n">
        <v>12</v>
      </c>
      <c r="L37" s="2" t="n">
        <v>75.2</v>
      </c>
      <c r="M37" s="2" t="n">
        <v>156</v>
      </c>
      <c r="N37" s="2" t="n">
        <v>68</v>
      </c>
      <c r="O37" s="2" t="n">
        <v>49189</v>
      </c>
      <c r="P37" s="5" t="n">
        <v>31248</v>
      </c>
      <c r="Q37" s="6" t="n">
        <v>10.64968969078138</v>
      </c>
      <c r="R37" s="6" t="n">
        <v>6.741573033707865</v>
      </c>
      <c r="S37" s="6" t="n">
        <v>54.83870967741935</v>
      </c>
    </row>
    <row r="38">
      <c r="A38" s="4" t="n">
        <v>46058</v>
      </c>
      <c r="B38" s="2" t="inlineStr">
        <is>
          <t>Customer Service</t>
        </is>
      </c>
      <c r="C38" s="2" t="inlineStr">
        <is>
          <t>Order Management</t>
        </is>
      </c>
      <c r="D38" s="2" t="inlineStr">
        <is>
          <t>South</t>
        </is>
      </c>
      <c r="E38" s="2" t="n">
        <v>55</v>
      </c>
      <c r="F38" s="5" t="n">
        <v>429358</v>
      </c>
      <c r="G38" s="5" t="n">
        <v>57789</v>
      </c>
      <c r="H38" s="2" t="n">
        <v>2</v>
      </c>
      <c r="I38" s="2" t="n">
        <v>157</v>
      </c>
      <c r="J38" s="2" t="n">
        <v>135</v>
      </c>
      <c r="K38" s="2" t="n">
        <v>15</v>
      </c>
      <c r="L38" s="2" t="n">
        <v>80.2</v>
      </c>
      <c r="M38" s="2" t="n">
        <v>160</v>
      </c>
      <c r="N38" s="2" t="n">
        <v>25</v>
      </c>
      <c r="O38" s="2" t="n">
        <v>20387</v>
      </c>
      <c r="P38" s="5" t="n">
        <v>371569</v>
      </c>
      <c r="Q38" s="6" t="n">
        <v>86.54060248091336</v>
      </c>
      <c r="R38" s="6" t="n">
        <v>27.27272727272727</v>
      </c>
      <c r="S38" s="6" t="n">
        <v>85.98726114649682</v>
      </c>
    </row>
    <row r="39">
      <c r="A39" s="4" t="n">
        <v>46059</v>
      </c>
      <c r="B39" s="2" t="inlineStr">
        <is>
          <t>Sales</t>
        </is>
      </c>
      <c r="C39" s="2" t="inlineStr">
        <is>
          <t>Delivery</t>
        </is>
      </c>
      <c r="D39" s="2" t="inlineStr">
        <is>
          <t>South</t>
        </is>
      </c>
      <c r="E39" s="2" t="n">
        <v>85</v>
      </c>
      <c r="F39" s="5" t="n">
        <v>288090</v>
      </c>
      <c r="G39" s="5" t="n">
        <v>246504</v>
      </c>
      <c r="H39" s="2" t="n">
        <v>4</v>
      </c>
      <c r="I39" s="2" t="n">
        <v>161</v>
      </c>
      <c r="J39" s="2" t="n">
        <v>161</v>
      </c>
      <c r="K39" s="2" t="n">
        <v>17</v>
      </c>
      <c r="L39" s="2" t="n">
        <v>95.5</v>
      </c>
      <c r="M39" s="2" t="n">
        <v>106</v>
      </c>
      <c r="N39" s="2" t="n">
        <v>59</v>
      </c>
      <c r="O39" s="2" t="n">
        <v>25638</v>
      </c>
      <c r="P39" s="5" t="n">
        <v>41586</v>
      </c>
      <c r="Q39" s="6" t="n">
        <v>14.4350723732167</v>
      </c>
      <c r="R39" s="6" t="n">
        <v>20</v>
      </c>
      <c r="S39" s="6" t="n">
        <v>100</v>
      </c>
    </row>
    <row r="40">
      <c r="A40" s="4" t="n">
        <v>46060</v>
      </c>
      <c r="B40" s="2" t="inlineStr">
        <is>
          <t>Operations</t>
        </is>
      </c>
      <c r="C40" s="2" t="inlineStr">
        <is>
          <t>Delivery</t>
        </is>
      </c>
      <c r="D40" s="2" t="inlineStr">
        <is>
          <t>West</t>
        </is>
      </c>
      <c r="E40" s="2" t="n">
        <v>88</v>
      </c>
      <c r="F40" s="5" t="n">
        <v>222831</v>
      </c>
      <c r="G40" s="5" t="n">
        <v>150170</v>
      </c>
      <c r="H40" s="2" t="n">
        <v>4</v>
      </c>
      <c r="I40" s="2" t="n">
        <v>42</v>
      </c>
      <c r="J40" s="2" t="n">
        <v>42</v>
      </c>
      <c r="K40" s="2" t="n">
        <v>6</v>
      </c>
      <c r="L40" s="2" t="n">
        <v>69</v>
      </c>
      <c r="M40" s="2" t="n">
        <v>38</v>
      </c>
      <c r="N40" s="2" t="n">
        <v>39</v>
      </c>
      <c r="O40" s="2" t="n">
        <v>43693</v>
      </c>
      <c r="P40" s="5" t="n">
        <v>72661</v>
      </c>
      <c r="Q40" s="6" t="n">
        <v>32.60812005510903</v>
      </c>
      <c r="R40" s="6" t="n">
        <v>6.818181818181817</v>
      </c>
      <c r="S40" s="6" t="n">
        <v>100</v>
      </c>
    </row>
    <row r="41">
      <c r="A41" s="4" t="n">
        <v>46061</v>
      </c>
      <c r="B41" s="2" t="inlineStr">
        <is>
          <t>Customer Service</t>
        </is>
      </c>
      <c r="C41" s="2" t="inlineStr">
        <is>
          <t>Order Management</t>
        </is>
      </c>
      <c r="D41" s="2" t="inlineStr">
        <is>
          <t>East</t>
        </is>
      </c>
      <c r="E41" s="2" t="n">
        <v>132</v>
      </c>
      <c r="F41" s="5" t="n">
        <v>286929</v>
      </c>
      <c r="G41" s="5" t="n">
        <v>282281</v>
      </c>
      <c r="H41" s="2" t="n">
        <v>5</v>
      </c>
      <c r="I41" s="2" t="n">
        <v>150</v>
      </c>
      <c r="J41" s="2" t="n">
        <v>97</v>
      </c>
      <c r="K41" s="2" t="n">
        <v>2</v>
      </c>
      <c r="L41" s="2" t="n">
        <v>84.2</v>
      </c>
      <c r="M41" s="2" t="n">
        <v>64</v>
      </c>
      <c r="N41" s="2" t="n">
        <v>30</v>
      </c>
      <c r="O41" s="2" t="n">
        <v>71947</v>
      </c>
      <c r="P41" s="5" t="n">
        <v>4648</v>
      </c>
      <c r="Q41" s="6" t="n">
        <v>1.619912940135016</v>
      </c>
      <c r="R41" s="6" t="n">
        <v>1.515151515151515</v>
      </c>
      <c r="S41" s="6" t="n">
        <v>64.66666666666666</v>
      </c>
    </row>
    <row r="42">
      <c r="A42" s="4" t="n">
        <v>46062</v>
      </c>
      <c r="B42" s="2" t="inlineStr">
        <is>
          <t>Operations</t>
        </is>
      </c>
      <c r="C42" s="2" t="inlineStr">
        <is>
          <t>Customer Support</t>
        </is>
      </c>
      <c r="D42" s="2" t="inlineStr">
        <is>
          <t>South</t>
        </is>
      </c>
      <c r="E42" s="2" t="n">
        <v>143</v>
      </c>
      <c r="F42" s="5" t="n">
        <v>371846</v>
      </c>
      <c r="G42" s="5" t="n">
        <v>272906</v>
      </c>
      <c r="H42" s="2" t="n">
        <v>5</v>
      </c>
      <c r="I42" s="2" t="n">
        <v>108</v>
      </c>
      <c r="J42" s="2" t="n">
        <v>108</v>
      </c>
      <c r="K42" s="2" t="n">
        <v>9</v>
      </c>
      <c r="L42" s="2" t="n">
        <v>92.2</v>
      </c>
      <c r="M42" s="2" t="n">
        <v>149</v>
      </c>
      <c r="N42" s="2" t="n">
        <v>59</v>
      </c>
      <c r="O42" s="2" t="n">
        <v>87109</v>
      </c>
      <c r="P42" s="5" t="n">
        <v>98940</v>
      </c>
      <c r="Q42" s="6" t="n">
        <v>26.60778924608574</v>
      </c>
      <c r="R42" s="6" t="n">
        <v>6.293706293706294</v>
      </c>
      <c r="S42" s="6" t="n">
        <v>100</v>
      </c>
    </row>
    <row r="43">
      <c r="A43" s="4" t="n">
        <v>46063</v>
      </c>
      <c r="B43" s="2" t="inlineStr">
        <is>
          <t>Marketing</t>
        </is>
      </c>
      <c r="C43" s="2" t="inlineStr">
        <is>
          <t>Delivery</t>
        </is>
      </c>
      <c r="D43" s="2" t="inlineStr">
        <is>
          <t>East</t>
        </is>
      </c>
      <c r="E43" s="2" t="n">
        <v>146</v>
      </c>
      <c r="F43" s="5" t="n">
        <v>304484</v>
      </c>
      <c r="G43" s="5" t="n">
        <v>37381</v>
      </c>
      <c r="H43" s="2" t="n">
        <v>6</v>
      </c>
      <c r="I43" s="2" t="n">
        <v>176</v>
      </c>
      <c r="J43" s="2" t="n">
        <v>41</v>
      </c>
      <c r="K43" s="2" t="n">
        <v>6</v>
      </c>
      <c r="L43" s="2" t="n">
        <v>92.8</v>
      </c>
      <c r="M43" s="2" t="n">
        <v>105</v>
      </c>
      <c r="N43" s="2" t="n">
        <v>10</v>
      </c>
      <c r="O43" s="2" t="n">
        <v>47247</v>
      </c>
      <c r="P43" s="5" t="n">
        <v>267103</v>
      </c>
      <c r="Q43" s="6" t="n">
        <v>87.72316443556969</v>
      </c>
      <c r="R43" s="6" t="n">
        <v>4.10958904109589</v>
      </c>
      <c r="S43" s="6" t="n">
        <v>23.29545454545454</v>
      </c>
    </row>
    <row r="44">
      <c r="A44" s="4" t="n">
        <v>46064</v>
      </c>
      <c r="B44" s="2" t="inlineStr">
        <is>
          <t>Customer Service</t>
        </is>
      </c>
      <c r="C44" s="2" t="inlineStr">
        <is>
          <t>Customer Support</t>
        </is>
      </c>
      <c r="D44" s="2" t="inlineStr">
        <is>
          <t>South</t>
        </is>
      </c>
      <c r="E44" s="2" t="n">
        <v>180</v>
      </c>
      <c r="F44" s="5" t="n">
        <v>185552</v>
      </c>
      <c r="G44" s="5" t="n">
        <v>49563</v>
      </c>
      <c r="H44" s="2" t="n">
        <v>4</v>
      </c>
      <c r="I44" s="2" t="n">
        <v>124</v>
      </c>
      <c r="J44" s="2" t="n">
        <v>124</v>
      </c>
      <c r="K44" s="2" t="n">
        <v>7</v>
      </c>
      <c r="L44" s="2" t="n">
        <v>70.2</v>
      </c>
      <c r="M44" s="2" t="n">
        <v>154</v>
      </c>
      <c r="N44" s="2" t="n">
        <v>34</v>
      </c>
      <c r="O44" s="2" t="n">
        <v>35191</v>
      </c>
      <c r="P44" s="5" t="n">
        <v>135989</v>
      </c>
      <c r="Q44" s="6" t="n">
        <v>73.28888936793999</v>
      </c>
      <c r="R44" s="6" t="n">
        <v>3.888888888888889</v>
      </c>
      <c r="S44" s="6" t="n">
        <v>100</v>
      </c>
    </row>
    <row r="45">
      <c r="A45" s="4" t="n">
        <v>46065</v>
      </c>
      <c r="B45" s="2" t="inlineStr">
        <is>
          <t>Customer Service</t>
        </is>
      </c>
      <c r="C45" s="2" t="inlineStr">
        <is>
          <t>Order Management</t>
        </is>
      </c>
      <c r="D45" s="2" t="inlineStr">
        <is>
          <t>South</t>
        </is>
      </c>
      <c r="E45" s="2" t="n">
        <v>213</v>
      </c>
      <c r="F45" s="5" t="n">
        <v>357578</v>
      </c>
      <c r="G45" s="5" t="n">
        <v>81444</v>
      </c>
      <c r="H45" s="2" t="n">
        <v>1</v>
      </c>
      <c r="I45" s="2" t="n">
        <v>58</v>
      </c>
      <c r="J45" s="2" t="n">
        <v>58</v>
      </c>
      <c r="K45" s="2" t="n">
        <v>19</v>
      </c>
      <c r="L45" s="2" t="n">
        <v>79.7</v>
      </c>
      <c r="M45" s="2" t="n">
        <v>26</v>
      </c>
      <c r="N45" s="2" t="n">
        <v>8</v>
      </c>
      <c r="O45" s="2" t="n">
        <v>57450</v>
      </c>
      <c r="P45" s="5" t="n">
        <v>276134</v>
      </c>
      <c r="Q45" s="6" t="n">
        <v>77.22343097170408</v>
      </c>
      <c r="R45" s="6" t="n">
        <v>8.92018779342723</v>
      </c>
      <c r="S45" s="6" t="n">
        <v>100</v>
      </c>
    </row>
    <row r="46">
      <c r="A46" s="4" t="n">
        <v>46066</v>
      </c>
      <c r="B46" s="2" t="inlineStr">
        <is>
          <t>Marketing</t>
        </is>
      </c>
      <c r="C46" s="2" t="inlineStr">
        <is>
          <t>Delivery</t>
        </is>
      </c>
      <c r="D46" s="2" t="inlineStr">
        <is>
          <t>West</t>
        </is>
      </c>
      <c r="E46" s="2" t="n">
        <v>108</v>
      </c>
      <c r="F46" s="5" t="n">
        <v>121218</v>
      </c>
      <c r="G46" s="5" t="n">
        <v>65527</v>
      </c>
      <c r="H46" s="2" t="n">
        <v>5</v>
      </c>
      <c r="I46" s="2" t="n">
        <v>178</v>
      </c>
      <c r="J46" s="2" t="n">
        <v>69</v>
      </c>
      <c r="K46" s="2" t="n">
        <v>16</v>
      </c>
      <c r="L46" s="2" t="n">
        <v>90.5</v>
      </c>
      <c r="M46" s="2" t="n">
        <v>153</v>
      </c>
      <c r="N46" s="2" t="n">
        <v>75</v>
      </c>
      <c r="O46" s="2" t="n">
        <v>84122</v>
      </c>
      <c r="P46" s="5" t="n">
        <v>55691</v>
      </c>
      <c r="Q46" s="6" t="n">
        <v>45.94284677193156</v>
      </c>
      <c r="R46" s="6" t="n">
        <v>14.81481481481481</v>
      </c>
      <c r="S46" s="6" t="n">
        <v>38.76404494382022</v>
      </c>
    </row>
    <row r="47">
      <c r="A47" s="4" t="n">
        <v>46067</v>
      </c>
      <c r="B47" s="2" t="inlineStr">
        <is>
          <t>Operations</t>
        </is>
      </c>
      <c r="C47" s="2" t="inlineStr">
        <is>
          <t>Customer Support</t>
        </is>
      </c>
      <c r="D47" s="2" t="inlineStr">
        <is>
          <t>North</t>
        </is>
      </c>
      <c r="E47" s="2" t="n">
        <v>91</v>
      </c>
      <c r="F47" s="5" t="n">
        <v>375036</v>
      </c>
      <c r="G47" s="5" t="n">
        <v>59106</v>
      </c>
      <c r="H47" s="2" t="n">
        <v>5</v>
      </c>
      <c r="I47" s="2" t="n">
        <v>167</v>
      </c>
      <c r="J47" s="2" t="n">
        <v>96</v>
      </c>
      <c r="K47" s="2" t="n">
        <v>19</v>
      </c>
      <c r="L47" s="2" t="n">
        <v>70</v>
      </c>
      <c r="M47" s="2" t="n">
        <v>145</v>
      </c>
      <c r="N47" s="2" t="n">
        <v>16</v>
      </c>
      <c r="O47" s="2" t="n">
        <v>71879</v>
      </c>
      <c r="P47" s="5" t="n">
        <v>315930</v>
      </c>
      <c r="Q47" s="6" t="n">
        <v>84.23991296835503</v>
      </c>
      <c r="R47" s="6" t="n">
        <v>20.87912087912088</v>
      </c>
      <c r="S47" s="6" t="n">
        <v>57.48502994011976</v>
      </c>
    </row>
    <row r="48">
      <c r="A48" s="4" t="n">
        <v>46068</v>
      </c>
      <c r="B48" s="2" t="inlineStr">
        <is>
          <t>Sales</t>
        </is>
      </c>
      <c r="C48" s="2" t="inlineStr">
        <is>
          <t>Production</t>
        </is>
      </c>
      <c r="D48" s="2" t="inlineStr">
        <is>
          <t>South</t>
        </is>
      </c>
      <c r="E48" s="2" t="n">
        <v>217</v>
      </c>
      <c r="F48" s="5" t="n">
        <v>113354</v>
      </c>
      <c r="G48" s="5" t="n">
        <v>265409</v>
      </c>
      <c r="H48" s="2" t="n">
        <v>4</v>
      </c>
      <c r="I48" s="2" t="n">
        <v>55</v>
      </c>
      <c r="J48" s="2" t="n">
        <v>55</v>
      </c>
      <c r="K48" s="2" t="n">
        <v>18</v>
      </c>
      <c r="L48" s="2" t="n">
        <v>88.90000000000001</v>
      </c>
      <c r="M48" s="2" t="n">
        <v>172</v>
      </c>
      <c r="N48" s="2" t="n">
        <v>69</v>
      </c>
      <c r="O48" s="2" t="n">
        <v>46648</v>
      </c>
      <c r="P48" s="5" t="n">
        <v>-152055</v>
      </c>
      <c r="Q48" s="6" t="n">
        <v>-134.1417153342626</v>
      </c>
      <c r="R48" s="6" t="n">
        <v>8.294930875576037</v>
      </c>
      <c r="S48" s="6" t="n">
        <v>100</v>
      </c>
    </row>
    <row r="49">
      <c r="A49" s="4" t="n">
        <v>46069</v>
      </c>
      <c r="B49" s="2" t="inlineStr">
        <is>
          <t>Marketing</t>
        </is>
      </c>
      <c r="C49" s="2" t="inlineStr">
        <is>
          <t>Customer Support</t>
        </is>
      </c>
      <c r="D49" s="2" t="inlineStr">
        <is>
          <t>West</t>
        </is>
      </c>
      <c r="E49" s="2" t="n">
        <v>182</v>
      </c>
      <c r="F49" s="5" t="n">
        <v>293572</v>
      </c>
      <c r="G49" s="5" t="n">
        <v>136978</v>
      </c>
      <c r="H49" s="2" t="n">
        <v>7</v>
      </c>
      <c r="I49" s="2" t="n">
        <v>41</v>
      </c>
      <c r="J49" s="2" t="n">
        <v>41</v>
      </c>
      <c r="K49" s="2" t="n">
        <v>8</v>
      </c>
      <c r="L49" s="2" t="n">
        <v>80.59999999999999</v>
      </c>
      <c r="M49" s="2" t="n">
        <v>126</v>
      </c>
      <c r="N49" s="2" t="n">
        <v>35</v>
      </c>
      <c r="O49" s="2" t="n">
        <v>55334</v>
      </c>
      <c r="P49" s="5" t="n">
        <v>156594</v>
      </c>
      <c r="Q49" s="6" t="n">
        <v>53.3409180712057</v>
      </c>
      <c r="R49" s="6" t="n">
        <v>4.395604395604396</v>
      </c>
      <c r="S49" s="6" t="n">
        <v>100</v>
      </c>
    </row>
    <row r="50">
      <c r="A50" s="4" t="n">
        <v>46070</v>
      </c>
      <c r="B50" s="2" t="inlineStr">
        <is>
          <t>Customer Service</t>
        </is>
      </c>
      <c r="C50" s="2" t="inlineStr">
        <is>
          <t>Customer Support</t>
        </is>
      </c>
      <c r="D50" s="2" t="inlineStr">
        <is>
          <t>West</t>
        </is>
      </c>
      <c r="E50" s="2" t="n">
        <v>90</v>
      </c>
      <c r="F50" s="5" t="n">
        <v>436237</v>
      </c>
      <c r="G50" s="5" t="n">
        <v>85687</v>
      </c>
      <c r="H50" s="2" t="n">
        <v>4</v>
      </c>
      <c r="I50" s="2" t="n">
        <v>99</v>
      </c>
      <c r="J50" s="2" t="n">
        <v>90</v>
      </c>
      <c r="K50" s="2" t="n">
        <v>6</v>
      </c>
      <c r="L50" s="2" t="n">
        <v>78.5</v>
      </c>
      <c r="M50" s="2" t="n">
        <v>172</v>
      </c>
      <c r="N50" s="2" t="n">
        <v>65</v>
      </c>
      <c r="O50" s="2" t="n">
        <v>50612</v>
      </c>
      <c r="P50" s="5" t="n">
        <v>350550</v>
      </c>
      <c r="Q50" s="6" t="n">
        <v>80.35769547287369</v>
      </c>
      <c r="R50" s="6" t="n">
        <v>6.666666666666667</v>
      </c>
      <c r="S50" s="6" t="n">
        <v>90.90909090909091</v>
      </c>
    </row>
    <row r="51">
      <c r="A51" s="4" t="n">
        <v>46071</v>
      </c>
      <c r="B51" s="2" t="inlineStr">
        <is>
          <t>Customer Service</t>
        </is>
      </c>
      <c r="C51" s="2" t="inlineStr">
        <is>
          <t>Production</t>
        </is>
      </c>
      <c r="D51" s="2" t="inlineStr">
        <is>
          <t>West</t>
        </is>
      </c>
      <c r="E51" s="2" t="n">
        <v>125</v>
      </c>
      <c r="F51" s="5" t="n">
        <v>317297</v>
      </c>
      <c r="G51" s="5" t="n">
        <v>226244</v>
      </c>
      <c r="H51" s="2" t="n">
        <v>4</v>
      </c>
      <c r="I51" s="2" t="n">
        <v>49</v>
      </c>
      <c r="J51" s="2" t="n">
        <v>49</v>
      </c>
      <c r="K51" s="2" t="n">
        <v>11</v>
      </c>
      <c r="L51" s="2" t="n">
        <v>83.8</v>
      </c>
      <c r="M51" s="2" t="n">
        <v>186</v>
      </c>
      <c r="N51" s="2" t="n">
        <v>60</v>
      </c>
      <c r="O51" s="2" t="n">
        <v>39584</v>
      </c>
      <c r="P51" s="5" t="n">
        <v>91053</v>
      </c>
      <c r="Q51" s="6" t="n">
        <v>28.69645789276293</v>
      </c>
      <c r="R51" s="6" t="n">
        <v>8.799999999999999</v>
      </c>
      <c r="S51" s="6" t="n">
        <v>100</v>
      </c>
    </row>
    <row r="52">
      <c r="A52" s="4" t="n">
        <v>46072</v>
      </c>
      <c r="B52" s="2" t="inlineStr">
        <is>
          <t>Operations</t>
        </is>
      </c>
      <c r="C52" s="2" t="inlineStr">
        <is>
          <t>Customer Support</t>
        </is>
      </c>
      <c r="D52" s="2" t="inlineStr">
        <is>
          <t>South</t>
        </is>
      </c>
      <c r="E52" s="2" t="n">
        <v>82</v>
      </c>
      <c r="F52" s="5" t="n">
        <v>139511</v>
      </c>
      <c r="G52" s="5" t="n">
        <v>135584</v>
      </c>
      <c r="H52" s="2" t="n">
        <v>3</v>
      </c>
      <c r="I52" s="2" t="n">
        <v>116</v>
      </c>
      <c r="J52" s="2" t="n">
        <v>74</v>
      </c>
      <c r="K52" s="2" t="n">
        <v>6</v>
      </c>
      <c r="L52" s="2" t="n">
        <v>92.09999999999999</v>
      </c>
      <c r="M52" s="2" t="n">
        <v>185</v>
      </c>
      <c r="N52" s="2" t="n">
        <v>66</v>
      </c>
      <c r="O52" s="2" t="n">
        <v>50568</v>
      </c>
      <c r="P52" s="5" t="n">
        <v>3927</v>
      </c>
      <c r="Q52" s="6" t="n">
        <v>2.814831805377354</v>
      </c>
      <c r="R52" s="6" t="n">
        <v>7.317073170731707</v>
      </c>
      <c r="S52" s="6" t="n">
        <v>63.79310344827586</v>
      </c>
    </row>
    <row r="53">
      <c r="A53" s="4" t="n">
        <v>46073</v>
      </c>
      <c r="B53" s="2" t="inlineStr">
        <is>
          <t>Sales</t>
        </is>
      </c>
      <c r="C53" s="2" t="inlineStr">
        <is>
          <t>Production</t>
        </is>
      </c>
      <c r="D53" s="2" t="inlineStr">
        <is>
          <t>South</t>
        </is>
      </c>
      <c r="E53" s="2" t="n">
        <v>154</v>
      </c>
      <c r="F53" s="5" t="n">
        <v>297514</v>
      </c>
      <c r="G53" s="5" t="n">
        <v>184439</v>
      </c>
      <c r="H53" s="2" t="n">
        <v>2</v>
      </c>
      <c r="I53" s="2" t="n">
        <v>169</v>
      </c>
      <c r="J53" s="2" t="n">
        <v>159</v>
      </c>
      <c r="K53" s="2" t="n">
        <v>6</v>
      </c>
      <c r="L53" s="2" t="n">
        <v>95.40000000000001</v>
      </c>
      <c r="M53" s="2" t="n">
        <v>90</v>
      </c>
      <c r="N53" s="2" t="n">
        <v>77</v>
      </c>
      <c r="O53" s="2" t="n">
        <v>30127</v>
      </c>
      <c r="P53" s="5" t="n">
        <v>113075</v>
      </c>
      <c r="Q53" s="6" t="n">
        <v>38.00661481476502</v>
      </c>
      <c r="R53" s="6" t="n">
        <v>3.896103896103896</v>
      </c>
      <c r="S53" s="6" t="n">
        <v>94.08284023668639</v>
      </c>
    </row>
    <row r="54">
      <c r="A54" s="4" t="n">
        <v>46074</v>
      </c>
      <c r="B54" s="2" t="inlineStr">
        <is>
          <t>Marketing</t>
        </is>
      </c>
      <c r="C54" s="2" t="inlineStr">
        <is>
          <t>Delivery</t>
        </is>
      </c>
      <c r="D54" s="2" t="inlineStr">
        <is>
          <t>North</t>
        </is>
      </c>
      <c r="E54" s="2" t="n">
        <v>139</v>
      </c>
      <c r="F54" s="5" t="n">
        <v>330827</v>
      </c>
      <c r="G54" s="5" t="n">
        <v>42856</v>
      </c>
      <c r="H54" s="2" t="n">
        <v>7</v>
      </c>
      <c r="I54" s="2" t="n">
        <v>51</v>
      </c>
      <c r="J54" s="2" t="n">
        <v>51</v>
      </c>
      <c r="K54" s="2" t="n">
        <v>15</v>
      </c>
      <c r="L54" s="2" t="n">
        <v>75.40000000000001</v>
      </c>
      <c r="M54" s="2" t="n">
        <v>58</v>
      </c>
      <c r="N54" s="2" t="n">
        <v>9</v>
      </c>
      <c r="O54" s="2" t="n">
        <v>34366</v>
      </c>
      <c r="P54" s="5" t="n">
        <v>287971</v>
      </c>
      <c r="Q54" s="6" t="n">
        <v>87.04579735027673</v>
      </c>
      <c r="R54" s="6" t="n">
        <v>10.79136690647482</v>
      </c>
      <c r="S54" s="6" t="n">
        <v>100</v>
      </c>
    </row>
    <row r="55">
      <c r="A55" s="4" t="n">
        <v>46075</v>
      </c>
      <c r="B55" s="2" t="inlineStr">
        <is>
          <t>Customer Service</t>
        </is>
      </c>
      <c r="C55" s="2" t="inlineStr">
        <is>
          <t>Customer Support</t>
        </is>
      </c>
      <c r="D55" s="2" t="inlineStr">
        <is>
          <t>East</t>
        </is>
      </c>
      <c r="E55" s="2" t="n">
        <v>204</v>
      </c>
      <c r="F55" s="5" t="n">
        <v>357125</v>
      </c>
      <c r="G55" s="5" t="n">
        <v>44468</v>
      </c>
      <c r="H55" s="2" t="n">
        <v>4</v>
      </c>
      <c r="I55" s="2" t="n">
        <v>209</v>
      </c>
      <c r="J55" s="2" t="n">
        <v>66</v>
      </c>
      <c r="K55" s="2" t="n">
        <v>4</v>
      </c>
      <c r="L55" s="2" t="n">
        <v>74</v>
      </c>
      <c r="M55" s="2" t="n">
        <v>46</v>
      </c>
      <c r="N55" s="2" t="n">
        <v>45</v>
      </c>
      <c r="O55" s="2" t="n">
        <v>22671</v>
      </c>
      <c r="P55" s="5" t="n">
        <v>312657</v>
      </c>
      <c r="Q55" s="6" t="n">
        <v>87.54833741687085</v>
      </c>
      <c r="R55" s="6" t="n">
        <v>1.96078431372549</v>
      </c>
      <c r="S55" s="6" t="n">
        <v>31.57894736842105</v>
      </c>
    </row>
    <row r="56">
      <c r="A56" s="4" t="n">
        <v>46076</v>
      </c>
      <c r="B56" s="2" t="inlineStr">
        <is>
          <t>Customer Service</t>
        </is>
      </c>
      <c r="C56" s="2" t="inlineStr">
        <is>
          <t>Production</t>
        </is>
      </c>
      <c r="D56" s="2" t="inlineStr">
        <is>
          <t>North</t>
        </is>
      </c>
      <c r="E56" s="2" t="n">
        <v>95</v>
      </c>
      <c r="F56" s="5" t="n">
        <v>281892</v>
      </c>
      <c r="G56" s="5" t="n">
        <v>131731</v>
      </c>
      <c r="H56" s="2" t="n">
        <v>4</v>
      </c>
      <c r="I56" s="2" t="n">
        <v>122</v>
      </c>
      <c r="J56" s="2" t="n">
        <v>122</v>
      </c>
      <c r="K56" s="2" t="n">
        <v>8</v>
      </c>
      <c r="L56" s="2" t="n">
        <v>71.5</v>
      </c>
      <c r="M56" s="2" t="n">
        <v>127</v>
      </c>
      <c r="N56" s="2" t="n">
        <v>15</v>
      </c>
      <c r="O56" s="2" t="n">
        <v>81446</v>
      </c>
      <c r="P56" s="5" t="n">
        <v>150161</v>
      </c>
      <c r="Q56" s="6" t="n">
        <v>53.26898244717835</v>
      </c>
      <c r="R56" s="6" t="n">
        <v>8.421052631578947</v>
      </c>
      <c r="S56" s="6" t="n">
        <v>100</v>
      </c>
    </row>
    <row r="57">
      <c r="A57" s="4" t="n">
        <v>46077</v>
      </c>
      <c r="B57" s="2" t="inlineStr">
        <is>
          <t>Marketing</t>
        </is>
      </c>
      <c r="C57" s="2" t="inlineStr">
        <is>
          <t>Delivery</t>
        </is>
      </c>
      <c r="D57" s="2" t="inlineStr">
        <is>
          <t>East</t>
        </is>
      </c>
      <c r="E57" s="2" t="n">
        <v>53</v>
      </c>
      <c r="F57" s="5" t="n">
        <v>139359</v>
      </c>
      <c r="G57" s="5" t="n">
        <v>179712</v>
      </c>
      <c r="H57" s="2" t="n">
        <v>1</v>
      </c>
      <c r="I57" s="2" t="n">
        <v>169</v>
      </c>
      <c r="J57" s="2" t="n">
        <v>169</v>
      </c>
      <c r="K57" s="2" t="n">
        <v>9</v>
      </c>
      <c r="L57" s="2" t="n">
        <v>68.09999999999999</v>
      </c>
      <c r="M57" s="2" t="n">
        <v>152</v>
      </c>
      <c r="N57" s="2" t="n">
        <v>36</v>
      </c>
      <c r="O57" s="2" t="n">
        <v>41023</v>
      </c>
      <c r="P57" s="5" t="n">
        <v>-40353</v>
      </c>
      <c r="Q57" s="6" t="n">
        <v>-28.9561492260995</v>
      </c>
      <c r="R57" s="6" t="n">
        <v>16.9811320754717</v>
      </c>
      <c r="S57" s="6" t="n">
        <v>100</v>
      </c>
    </row>
    <row r="58">
      <c r="A58" s="4" t="n">
        <v>46078</v>
      </c>
      <c r="B58" s="2" t="inlineStr">
        <is>
          <t>Customer Service</t>
        </is>
      </c>
      <c r="C58" s="2" t="inlineStr">
        <is>
          <t>Order Management</t>
        </is>
      </c>
      <c r="D58" s="2" t="inlineStr">
        <is>
          <t>North</t>
        </is>
      </c>
      <c r="E58" s="2" t="n">
        <v>78</v>
      </c>
      <c r="F58" s="5" t="n">
        <v>111747</v>
      </c>
      <c r="G58" s="5" t="n">
        <v>117516</v>
      </c>
      <c r="H58" s="2" t="n">
        <v>3</v>
      </c>
      <c r="I58" s="2" t="n">
        <v>58</v>
      </c>
      <c r="J58" s="2" t="n">
        <v>58</v>
      </c>
      <c r="K58" s="2" t="n">
        <v>2</v>
      </c>
      <c r="L58" s="2" t="n">
        <v>76</v>
      </c>
      <c r="M58" s="2" t="n">
        <v>154</v>
      </c>
      <c r="N58" s="2" t="n">
        <v>76</v>
      </c>
      <c r="O58" s="2" t="n">
        <v>17317</v>
      </c>
      <c r="P58" s="5" t="n">
        <v>-5769</v>
      </c>
      <c r="Q58" s="6" t="n">
        <v>-5.162554699455018</v>
      </c>
      <c r="R58" s="6" t="n">
        <v>2.564102564102564</v>
      </c>
      <c r="S58" s="6" t="n">
        <v>100</v>
      </c>
    </row>
    <row r="59">
      <c r="A59" s="4" t="n">
        <v>46079</v>
      </c>
      <c r="B59" s="2" t="inlineStr">
        <is>
          <t>Marketing</t>
        </is>
      </c>
      <c r="C59" s="2" t="inlineStr">
        <is>
          <t>Customer Support</t>
        </is>
      </c>
      <c r="D59" s="2" t="inlineStr">
        <is>
          <t>West</t>
        </is>
      </c>
      <c r="E59" s="2" t="n">
        <v>124</v>
      </c>
      <c r="F59" s="5" t="n">
        <v>328568</v>
      </c>
      <c r="G59" s="5" t="n">
        <v>125330</v>
      </c>
      <c r="H59" s="2" t="n">
        <v>5</v>
      </c>
      <c r="I59" s="2" t="n">
        <v>181</v>
      </c>
      <c r="J59" s="2" t="n">
        <v>181</v>
      </c>
      <c r="K59" s="2" t="n">
        <v>3</v>
      </c>
      <c r="L59" s="2" t="n">
        <v>92.8</v>
      </c>
      <c r="M59" s="2" t="n">
        <v>26</v>
      </c>
      <c r="N59" s="2" t="n">
        <v>47</v>
      </c>
      <c r="O59" s="2" t="n">
        <v>54321</v>
      </c>
      <c r="P59" s="5" t="n">
        <v>203238</v>
      </c>
      <c r="Q59" s="6" t="n">
        <v>61.85568892892795</v>
      </c>
      <c r="R59" s="6" t="n">
        <v>2.419354838709677</v>
      </c>
      <c r="S59" s="6" t="n">
        <v>100</v>
      </c>
    </row>
    <row r="60">
      <c r="A60" s="4" t="n">
        <v>46080</v>
      </c>
      <c r="B60" s="2" t="inlineStr">
        <is>
          <t>Sales</t>
        </is>
      </c>
      <c r="C60" s="2" t="inlineStr">
        <is>
          <t>Order Management</t>
        </is>
      </c>
      <c r="D60" s="2" t="inlineStr">
        <is>
          <t>East</t>
        </is>
      </c>
      <c r="E60" s="2" t="n">
        <v>124</v>
      </c>
      <c r="F60" s="5" t="n">
        <v>267231</v>
      </c>
      <c r="G60" s="5" t="n">
        <v>285644</v>
      </c>
      <c r="H60" s="2" t="n">
        <v>7</v>
      </c>
      <c r="I60" s="2" t="n">
        <v>113</v>
      </c>
      <c r="J60" s="2" t="n">
        <v>113</v>
      </c>
      <c r="K60" s="2" t="n">
        <v>13</v>
      </c>
      <c r="L60" s="2" t="n">
        <v>72.90000000000001</v>
      </c>
      <c r="M60" s="2" t="n">
        <v>180</v>
      </c>
      <c r="N60" s="2" t="n">
        <v>79</v>
      </c>
      <c r="O60" s="2" t="n">
        <v>53899</v>
      </c>
      <c r="P60" s="5" t="n">
        <v>-18413</v>
      </c>
      <c r="Q60" s="6" t="n">
        <v>-6.890293416557211</v>
      </c>
      <c r="R60" s="6" t="n">
        <v>10.48387096774194</v>
      </c>
      <c r="S60" s="6" t="n">
        <v>100</v>
      </c>
    </row>
    <row r="61">
      <c r="A61" s="4" t="n">
        <v>46081</v>
      </c>
      <c r="B61" s="2" t="inlineStr">
        <is>
          <t>Customer Service</t>
        </is>
      </c>
      <c r="C61" s="2" t="inlineStr">
        <is>
          <t>Production</t>
        </is>
      </c>
      <c r="D61" s="2" t="inlineStr">
        <is>
          <t>South</t>
        </is>
      </c>
      <c r="E61" s="2" t="n">
        <v>152</v>
      </c>
      <c r="F61" s="5" t="n">
        <v>227930</v>
      </c>
      <c r="G61" s="5" t="n">
        <v>56344</v>
      </c>
      <c r="H61" s="2" t="n">
        <v>2</v>
      </c>
      <c r="I61" s="2" t="n">
        <v>165</v>
      </c>
      <c r="J61" s="2" t="n">
        <v>165</v>
      </c>
      <c r="K61" s="2" t="n">
        <v>6</v>
      </c>
      <c r="L61" s="2" t="n">
        <v>93.09999999999999</v>
      </c>
      <c r="M61" s="2" t="n">
        <v>181</v>
      </c>
      <c r="N61" s="2" t="n">
        <v>63</v>
      </c>
      <c r="O61" s="2" t="n">
        <v>52959</v>
      </c>
      <c r="P61" s="5" t="n">
        <v>171586</v>
      </c>
      <c r="Q61" s="6" t="n">
        <v>75.28012986443207</v>
      </c>
      <c r="R61" s="6" t="n">
        <v>3.947368421052631</v>
      </c>
      <c r="S61" s="6" t="n">
        <v>100</v>
      </c>
    </row>
    <row r="62">
      <c r="A62" s="4" t="n">
        <v>46082</v>
      </c>
      <c r="B62" s="2" t="inlineStr">
        <is>
          <t>Marketing</t>
        </is>
      </c>
      <c r="C62" s="2" t="inlineStr">
        <is>
          <t>Delivery</t>
        </is>
      </c>
      <c r="D62" s="2" t="inlineStr">
        <is>
          <t>North</t>
        </is>
      </c>
      <c r="E62" s="2" t="n">
        <v>121</v>
      </c>
      <c r="F62" s="5" t="n">
        <v>430251</v>
      </c>
      <c r="G62" s="5" t="n">
        <v>109570</v>
      </c>
      <c r="H62" s="2" t="n">
        <v>2</v>
      </c>
      <c r="I62" s="2" t="n">
        <v>93</v>
      </c>
      <c r="J62" s="2" t="n">
        <v>93</v>
      </c>
      <c r="K62" s="2" t="n">
        <v>14</v>
      </c>
      <c r="L62" s="2" t="n">
        <v>77.2</v>
      </c>
      <c r="M62" s="2" t="n">
        <v>170</v>
      </c>
      <c r="N62" s="2" t="n">
        <v>74</v>
      </c>
      <c r="O62" s="2" t="n">
        <v>28341</v>
      </c>
      <c r="P62" s="5" t="n">
        <v>320681</v>
      </c>
      <c r="Q62" s="6" t="n">
        <v>74.5334699977455</v>
      </c>
      <c r="R62" s="6" t="n">
        <v>11.5702479338843</v>
      </c>
      <c r="S62" s="6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14" customWidth="1" min="5" max="5"/>
    <col width="19" customWidth="1" min="6" max="6"/>
  </cols>
  <sheetData>
    <row r="1">
      <c r="A1" s="1" t="inlineStr">
        <is>
          <t>Pivot-Style Function Summary</t>
        </is>
      </c>
    </row>
    <row r="2">
      <c r="A2" s="3" t="inlineStr">
        <is>
          <t>Business_Function</t>
        </is>
      </c>
      <c r="B2" s="3" t="inlineStr">
        <is>
          <t>Orders</t>
        </is>
      </c>
      <c r="C2" s="3" t="inlineStr">
        <is>
          <t>Revenue_Rupee</t>
        </is>
      </c>
      <c r="D2" s="3" t="inlineStr">
        <is>
          <t>Cost_Rupee</t>
        </is>
      </c>
      <c r="E2" s="3" t="inlineStr">
        <is>
          <t>Profit_Rupee</t>
        </is>
      </c>
      <c r="F2" s="3" t="inlineStr">
        <is>
          <t>Avg_Satisfaction</t>
        </is>
      </c>
    </row>
    <row r="3">
      <c r="A3" s="2" t="inlineStr">
        <is>
          <t>Customer Service</t>
        </is>
      </c>
      <c r="B3" s="2" t="n">
        <v>3362</v>
      </c>
      <c r="C3" s="2" t="n">
        <v>6723575</v>
      </c>
      <c r="D3" s="2" t="n">
        <v>3813382</v>
      </c>
      <c r="E3" s="2" t="n">
        <v>2910193</v>
      </c>
      <c r="F3" s="2" t="n">
        <v>80.95833333333333</v>
      </c>
    </row>
    <row r="4">
      <c r="A4" s="2" t="inlineStr">
        <is>
          <t>Marketing</t>
        </is>
      </c>
      <c r="B4" s="2" t="n">
        <v>1103</v>
      </c>
      <c r="C4" s="2" t="n">
        <v>2475963</v>
      </c>
      <c r="D4" s="2" t="n">
        <v>1118420</v>
      </c>
      <c r="E4" s="2" t="n">
        <v>1357543</v>
      </c>
      <c r="F4" s="2" t="n">
        <v>82.51111111111112</v>
      </c>
    </row>
    <row r="5">
      <c r="A5" s="2" t="inlineStr">
        <is>
          <t>Operations</t>
        </is>
      </c>
      <c r="B5" s="2" t="n">
        <v>1709</v>
      </c>
      <c r="C5" s="2" t="n">
        <v>3238953</v>
      </c>
      <c r="D5" s="2" t="n">
        <v>2313551</v>
      </c>
      <c r="E5" s="2" t="n">
        <v>925402</v>
      </c>
      <c r="F5" s="2" t="n">
        <v>83.35333333333332</v>
      </c>
    </row>
    <row r="6">
      <c r="A6" s="2" t="inlineStr">
        <is>
          <t>Sales</t>
        </is>
      </c>
      <c r="B6" s="2" t="n">
        <v>1397</v>
      </c>
      <c r="C6" s="2" t="n">
        <v>2804097</v>
      </c>
      <c r="D6" s="2" t="n">
        <v>2441725</v>
      </c>
      <c r="E6" s="2" t="n">
        <v>362372</v>
      </c>
      <c r="F6" s="2" t="n">
        <v>86.02499999999999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2" customWidth="1" min="4" max="4"/>
    <col width="14" customWidth="1" min="5" max="5"/>
    <col width="20" customWidth="1" min="6" max="6"/>
  </cols>
  <sheetData>
    <row r="1">
      <c r="A1" s="1" t="inlineStr">
        <is>
          <t>Process Summary</t>
        </is>
      </c>
    </row>
    <row r="2">
      <c r="A2" s="3" t="inlineStr">
        <is>
          <t>Process</t>
        </is>
      </c>
      <c r="B2" s="3" t="inlineStr">
        <is>
          <t>Orders</t>
        </is>
      </c>
      <c r="C2" s="3" t="inlineStr">
        <is>
          <t>Revenue_Rupee</t>
        </is>
      </c>
      <c r="D2" s="3" t="inlineStr">
        <is>
          <t>Cost_Rupee</t>
        </is>
      </c>
      <c r="E2" s="3" t="inlineStr">
        <is>
          <t>Profit_Rupee</t>
        </is>
      </c>
      <c r="F2" s="3" t="inlineStr">
        <is>
          <t>Avg_Delivery_Days</t>
        </is>
      </c>
    </row>
    <row r="3">
      <c r="A3" s="2" t="inlineStr">
        <is>
          <t>Customer Support</t>
        </is>
      </c>
      <c r="B3" s="2" t="n">
        <v>2507</v>
      </c>
      <c r="C3" s="2" t="n">
        <v>4773142</v>
      </c>
      <c r="D3" s="2" t="n">
        <v>2803855</v>
      </c>
      <c r="E3" s="2" t="n">
        <v>1969287</v>
      </c>
      <c r="F3" s="2" t="n">
        <v>4.157894736842105</v>
      </c>
    </row>
    <row r="4">
      <c r="A4" s="2" t="inlineStr">
        <is>
          <t>Delivery</t>
        </is>
      </c>
      <c r="B4" s="2" t="n">
        <v>2143</v>
      </c>
      <c r="C4" s="2" t="n">
        <v>4561985</v>
      </c>
      <c r="D4" s="2" t="n">
        <v>3002799</v>
      </c>
      <c r="E4" s="2" t="n">
        <v>1559186</v>
      </c>
      <c r="F4" s="2" t="n">
        <v>4.263157894736842</v>
      </c>
    </row>
    <row r="5">
      <c r="A5" s="2" t="inlineStr">
        <is>
          <t>Order Management</t>
        </is>
      </c>
      <c r="B5" s="2" t="n">
        <v>1633</v>
      </c>
      <c r="C5" s="2" t="n">
        <v>3701328</v>
      </c>
      <c r="D5" s="2" t="n">
        <v>2285815</v>
      </c>
      <c r="E5" s="2" t="n">
        <v>1415513</v>
      </c>
      <c r="F5" s="2" t="n">
        <v>4.230769230769231</v>
      </c>
    </row>
    <row r="6">
      <c r="A6" s="2" t="inlineStr">
        <is>
          <t>Production</t>
        </is>
      </c>
      <c r="B6" s="2" t="n">
        <v>1288</v>
      </c>
      <c r="C6" s="2" t="n">
        <v>2206133</v>
      </c>
      <c r="D6" s="2" t="n">
        <v>1594609</v>
      </c>
      <c r="E6" s="2" t="n">
        <v>611524</v>
      </c>
      <c r="F6" s="2" t="n">
        <v>3.222222222222222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Region Summary</t>
        </is>
      </c>
    </row>
    <row r="2">
      <c r="A2" s="3" t="inlineStr">
        <is>
          <t>Region</t>
        </is>
      </c>
      <c r="B2" s="3" t="inlineStr">
        <is>
          <t>Orders</t>
        </is>
      </c>
      <c r="C2" s="3" t="inlineStr">
        <is>
          <t>Revenue_Rupee</t>
        </is>
      </c>
    </row>
    <row r="3">
      <c r="A3" s="2" t="inlineStr">
        <is>
          <t>East</t>
        </is>
      </c>
      <c r="B3" s="2" t="n">
        <v>2077</v>
      </c>
      <c r="C3" s="2" t="n">
        <v>3960414</v>
      </c>
    </row>
    <row r="4">
      <c r="A4" s="2" t="inlineStr">
        <is>
          <t>North</t>
        </is>
      </c>
      <c r="B4" s="2" t="n">
        <v>1519</v>
      </c>
      <c r="C4" s="2" t="n">
        <v>3410091</v>
      </c>
    </row>
    <row r="5">
      <c r="A5" s="2" t="inlineStr">
        <is>
          <t>South</t>
        </is>
      </c>
      <c r="B5" s="2" t="n">
        <v>2577</v>
      </c>
      <c r="C5" s="2" t="n">
        <v>4924405</v>
      </c>
    </row>
    <row r="6">
      <c r="A6" s="2" t="inlineStr">
        <is>
          <t>West</t>
        </is>
      </c>
      <c r="B6" s="2" t="n">
        <v>1398</v>
      </c>
      <c r="C6" s="2" t="n">
        <v>2947678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Chart Data</t>
        </is>
      </c>
    </row>
    <row r="2">
      <c r="A2" s="3" t="inlineStr">
        <is>
          <t>Month</t>
        </is>
      </c>
      <c r="B2" s="3" t="inlineStr">
        <is>
          <t>Revenue_Rupee</t>
        </is>
      </c>
      <c r="C2" s="3" t="inlineStr">
        <is>
          <t>Orders</t>
        </is>
      </c>
      <c r="D2" s="3" t="inlineStr">
        <is>
          <t>Cost_Rupee</t>
        </is>
      </c>
    </row>
    <row r="3">
      <c r="A3" s="2" t="inlineStr">
        <is>
          <t>Jan</t>
        </is>
      </c>
      <c r="B3" s="2" t="n">
        <v>7359146</v>
      </c>
      <c r="C3" s="2" t="n">
        <v>3810</v>
      </c>
      <c r="D3" s="2" t="n">
        <v>5539022</v>
      </c>
    </row>
    <row r="4">
      <c r="A4" s="2" t="inlineStr">
        <is>
          <t>Feb</t>
        </is>
      </c>
      <c r="B4" s="2" t="n">
        <v>7453191</v>
      </c>
      <c r="C4" s="2" t="n">
        <v>3640</v>
      </c>
      <c r="D4" s="2" t="n">
        <v>4038486</v>
      </c>
    </row>
    <row r="5">
      <c r="A5" s="2" t="inlineStr">
        <is>
          <t>Mar</t>
        </is>
      </c>
      <c r="B5" s="2" t="n">
        <v>430251</v>
      </c>
      <c r="C5" s="2" t="n">
        <v>121</v>
      </c>
      <c r="D5" s="2" t="n">
        <v>109570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KPI Analysis</t>
        </is>
      </c>
    </row>
    <row r="2">
      <c r="A2" s="3" t="inlineStr">
        <is>
          <t>KPI</t>
        </is>
      </c>
      <c r="B2" s="3" t="inlineStr">
        <is>
          <t>Value</t>
        </is>
      </c>
    </row>
    <row r="3">
      <c r="A3" s="2" t="inlineStr">
        <is>
          <t>Total Orders</t>
        </is>
      </c>
      <c r="B3" s="2" t="n">
        <v>7571</v>
      </c>
    </row>
    <row r="4">
      <c r="A4" s="2" t="inlineStr">
        <is>
          <t>Total Revenue</t>
        </is>
      </c>
      <c r="B4" s="2" t="n">
        <v>15242588</v>
      </c>
    </row>
    <row r="5">
      <c r="A5" s="2" t="inlineStr">
        <is>
          <t>Total Cost</t>
        </is>
      </c>
      <c r="B5" s="2" t="n">
        <v>9687078</v>
      </c>
    </row>
    <row r="6">
      <c r="A6" s="2" t="inlineStr">
        <is>
          <t>Total Profit</t>
        </is>
      </c>
      <c r="B6" s="2" t="n">
        <v>5555510</v>
      </c>
    </row>
    <row r="7">
      <c r="A7" s="2" t="inlineStr">
        <is>
          <t>Average Order Value</t>
        </is>
      </c>
      <c r="B7" s="2" t="n">
        <v>2013.285959582618</v>
      </c>
    </row>
    <row r="8">
      <c r="A8" s="2" t="inlineStr">
        <is>
          <t>Profit Margin</t>
        </is>
      </c>
      <c r="B8" s="2" t="n">
        <v>36.44728834762181</v>
      </c>
    </row>
    <row r="9">
      <c r="A9" s="2" t="inlineStr">
        <is>
          <t>Return Rate</t>
        </is>
      </c>
      <c r="B9" s="2" t="n">
        <v>8.083476423193765</v>
      </c>
    </row>
    <row r="10">
      <c r="A10" s="2" t="inlineStr">
        <is>
          <t>On-Time Delivery Rate</t>
        </is>
      </c>
      <c r="B10" s="2" t="n">
        <v>73.9550646416468</v>
      </c>
    </row>
    <row r="11">
      <c r="A11" s="2" t="inlineStr">
        <is>
          <t>Average Customer Satisfaction</t>
        </is>
      </c>
      <c r="B11" s="2" t="n">
        <v>82.80333333333333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Excel Chart Revision — All Major Chart Types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20" customWidth="1" min="4" max="4"/>
    <col width="19" customWidth="1" min="5" max="5"/>
  </cols>
  <sheetData>
    <row r="1">
      <c r="A1" s="1" t="inlineStr">
        <is>
          <t>Radar Chart Data</t>
        </is>
      </c>
    </row>
    <row r="2">
      <c r="A2" s="3" t="inlineStr">
        <is>
          <t>Business_Function</t>
        </is>
      </c>
      <c r="B2" s="3" t="inlineStr">
        <is>
          <t>Orders</t>
        </is>
      </c>
      <c r="C2" s="3" t="inlineStr">
        <is>
          <t>Revenue_Index</t>
        </is>
      </c>
      <c r="D2" s="3" t="inlineStr">
        <is>
          <t>Profit_Index</t>
        </is>
      </c>
      <c r="E2" s="3" t="inlineStr">
        <is>
          <t>Avg_Satisfaction</t>
        </is>
      </c>
    </row>
    <row r="3">
      <c r="A3" s="2" t="inlineStr">
        <is>
          <t>Customer Service</t>
        </is>
      </c>
      <c r="B3" s="2" t="n">
        <v>3362</v>
      </c>
      <c r="C3" s="2" t="n">
        <v>100</v>
      </c>
      <c r="D3" s="2" t="n">
        <v>100</v>
      </c>
      <c r="E3" s="2" t="n">
        <v>80.95833333333333</v>
      </c>
    </row>
    <row r="4">
      <c r="A4" s="2" t="inlineStr">
        <is>
          <t>Marketing</t>
        </is>
      </c>
      <c r="B4" s="2" t="n">
        <v>1103</v>
      </c>
      <c r="C4" s="2" t="n">
        <v>36.82509676771658</v>
      </c>
      <c r="D4" s="2" t="n">
        <v>46.64786837161659</v>
      </c>
      <c r="E4" s="2" t="n">
        <v>82.51111111111112</v>
      </c>
    </row>
    <row r="5">
      <c r="A5" s="2" t="inlineStr">
        <is>
          <t>Operations</t>
        </is>
      </c>
      <c r="B5" s="2" t="n">
        <v>1709</v>
      </c>
      <c r="C5" s="2" t="n">
        <v>48.17307756662193</v>
      </c>
      <c r="D5" s="2" t="n">
        <v>31.79864703131373</v>
      </c>
      <c r="E5" s="2" t="n">
        <v>83.35333333333332</v>
      </c>
    </row>
    <row r="6">
      <c r="A6" s="2" t="inlineStr">
        <is>
          <t>Sales</t>
        </is>
      </c>
      <c r="B6" s="2" t="n">
        <v>1397</v>
      </c>
      <c r="C6" s="2" t="n">
        <v>41.70544687907847</v>
      </c>
      <c r="D6" s="2" t="n">
        <v>12.45182020573893</v>
      </c>
      <c r="E6" s="2" t="n">
        <v>86.02499999999999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</cols>
  <sheetData>
    <row r="1">
      <c r="A1" s="1" t="inlineStr">
        <is>
          <t>Revision Questions</t>
        </is>
      </c>
    </row>
    <row r="2">
      <c r="A2" s="3" t="inlineStr">
        <is>
          <t>No</t>
        </is>
      </c>
      <c r="B2" s="3" t="inlineStr">
        <is>
          <t>Question</t>
        </is>
      </c>
      <c r="C2" s="3" t="inlineStr">
        <is>
          <t>Your_Answer</t>
        </is>
      </c>
    </row>
    <row r="3">
      <c r="A3" s="2" t="n">
        <v>1</v>
      </c>
      <c r="B3" s="2" t="inlineStr">
        <is>
          <t>What is the difference between a workbook and worksheet?</t>
        </is>
      </c>
      <c r="C3" s="2" t="inlineStr"/>
    </row>
    <row r="4">
      <c r="A4" s="2" t="n">
        <v>2</v>
      </c>
      <c r="B4" s="2" t="inlineStr">
        <is>
          <t>What is a cell reference?</t>
        </is>
      </c>
      <c r="C4" s="2" t="inlineStr"/>
    </row>
    <row r="5">
      <c r="A5" s="2" t="n">
        <v>3</v>
      </c>
      <c r="B5" s="2" t="inlineStr">
        <is>
          <t>Calculate total revenue using SUM().</t>
        </is>
      </c>
      <c r="C5" s="2" t="inlineStr"/>
    </row>
    <row r="6">
      <c r="A6" s="2" t="n">
        <v>4</v>
      </c>
      <c r="B6" s="2" t="inlineStr">
        <is>
          <t>Calculate average satisfaction using AVERAGE().</t>
        </is>
      </c>
      <c r="C6" s="2" t="inlineStr"/>
    </row>
    <row r="7">
      <c r="A7" s="2" t="n">
        <v>5</v>
      </c>
      <c r="B7" s="2" t="inlineStr">
        <is>
          <t>Use IF() to classify values.</t>
        </is>
      </c>
      <c r="C7" s="2" t="inlineStr"/>
    </row>
    <row r="8">
      <c r="A8" s="2" t="n">
        <v>6</v>
      </c>
      <c r="B8" s="2" t="inlineStr">
        <is>
          <t>Use COUNTIF() for Sales.</t>
        </is>
      </c>
      <c r="C8" s="2" t="inlineStr"/>
    </row>
    <row r="9">
      <c r="A9" s="2" t="n">
        <v>7</v>
      </c>
      <c r="B9" s="2" t="inlineStr">
        <is>
          <t>Use SUMIF() for Sales revenue.</t>
        </is>
      </c>
      <c r="C9" s="2" t="inlineStr"/>
    </row>
    <row r="10">
      <c r="A10" s="2" t="n">
        <v>8</v>
      </c>
      <c r="B10" s="2" t="inlineStr">
        <is>
          <t>Sort revenue descending.</t>
        </is>
      </c>
      <c r="C10" s="2" t="inlineStr"/>
    </row>
    <row r="11">
      <c r="A11" s="2" t="n">
        <v>9</v>
      </c>
      <c r="B11" s="2" t="inlineStr">
        <is>
          <t>Filter Sales records.</t>
        </is>
      </c>
      <c r="C11" s="2" t="inlineStr"/>
    </row>
    <row r="12">
      <c r="A12" s="2" t="n">
        <v>10</v>
      </c>
      <c r="B12" s="2" t="inlineStr">
        <is>
          <t>Remove duplicates.</t>
        </is>
      </c>
      <c r="C12" s="2" t="inlineStr"/>
    </row>
    <row r="13">
      <c r="A13" s="2" t="n">
        <v>11</v>
      </c>
      <c r="B13" s="2" t="inlineStr">
        <is>
          <t>Use VLOOKUP or XLOOKUP.</t>
        </is>
      </c>
      <c r="C13" s="2" t="inlineStr"/>
    </row>
    <row r="14">
      <c r="A14" s="2" t="n">
        <v>12</v>
      </c>
      <c r="B14" s="2" t="inlineStr">
        <is>
          <t>Create a Pivot Table by function.</t>
        </is>
      </c>
      <c r="C14" s="2" t="inlineStr"/>
    </row>
    <row r="15">
      <c r="A15" s="2" t="n">
        <v>13</v>
      </c>
      <c r="B15" s="2" t="inlineStr">
        <is>
          <t>Create a line chart for monthly revenue.</t>
        </is>
      </c>
      <c r="C15" s="2" t="inlineStr"/>
    </row>
    <row r="16">
      <c r="A16" s="2" t="n">
        <v>14</v>
      </c>
      <c r="B16" s="2" t="inlineStr">
        <is>
          <t>Create a scatter chart for Ad Spend vs Revenue.</t>
        </is>
      </c>
      <c r="C16" s="2" t="inlineStr"/>
    </row>
    <row r="17">
      <c r="A17" s="2" t="n">
        <v>15</v>
      </c>
      <c r="B17" s="2" t="inlineStr">
        <is>
          <t>Build a dashboard using KPIs and charts.</t>
        </is>
      </c>
      <c r="C1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Final Excel Project — Business Performance Analysis</t>
        </is>
      </c>
    </row>
    <row r="2">
      <c r="A2" s="2" t="inlineStr">
        <is>
          <t>1</t>
        </is>
      </c>
      <c r="B2" s="2" t="inlineStr">
        <is>
          <t>Review and clean the Business_Data sheet.</t>
        </is>
      </c>
    </row>
    <row r="3">
      <c r="A3" s="2" t="inlineStr">
        <is>
          <t>2</t>
        </is>
      </c>
      <c r="B3" s="2" t="inlineStr">
        <is>
          <t>Create Profit, AOV, Return Rate and On-Time Rate calculations.</t>
        </is>
      </c>
    </row>
    <row r="4">
      <c r="A4" s="2" t="inlineStr">
        <is>
          <t>3</t>
        </is>
      </c>
      <c r="B4" s="2" t="inlineStr">
        <is>
          <t>Create KPI cards for Orders, Revenue, Cost, Profit and Satisfaction.</t>
        </is>
      </c>
    </row>
    <row r="5">
      <c r="A5" s="2" t="inlineStr">
        <is>
          <t>4</t>
        </is>
      </c>
      <c r="B5" s="2" t="inlineStr">
        <is>
          <t>Create Pivot Tables by Business Function and Process.</t>
        </is>
      </c>
    </row>
    <row r="6">
      <c r="A6" s="2" t="inlineStr">
        <is>
          <t>5</t>
        </is>
      </c>
      <c r="B6" s="2" t="inlineStr">
        <is>
          <t>Create Column, Bar, Line, Pie, Doughnut, Area, Scatter and Radar charts.</t>
        </is>
      </c>
    </row>
    <row r="7">
      <c r="A7" s="2" t="inlineStr">
        <is>
          <t>6</t>
        </is>
      </c>
      <c r="B7" s="2" t="inlineStr">
        <is>
          <t>Build a clear business dashboard.</t>
        </is>
      </c>
    </row>
    <row r="8">
      <c r="A8" s="2" t="inlineStr">
        <is>
          <t>7</t>
        </is>
      </c>
      <c r="B8" s="2" t="inlineStr">
        <is>
          <t>Write 3–5 observations based on the data.</t>
        </is>
      </c>
    </row>
    <row r="9">
      <c r="A9" s="2" t="inlineStr">
        <is>
          <t>8</t>
        </is>
      </c>
      <c r="B9" s="2" t="inlineStr">
        <is>
          <t>Check formulas and verify the results.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7" t="inlineStr">
        <is>
          <t>📊 Day 091 — Excel Revision Dashboard</t>
        </is>
      </c>
    </row>
    <row r="2"/>
    <row r="3">
      <c r="A3" s="3" t="inlineStr">
        <is>
          <t>Total Orders</t>
        </is>
      </c>
      <c r="C3" s="3" t="inlineStr">
        <is>
          <t>Total Revenue</t>
        </is>
      </c>
      <c r="E3" s="3" t="inlineStr">
        <is>
          <t>Total Cost</t>
        </is>
      </c>
      <c r="G3" s="3" t="inlineStr">
        <is>
          <t>Total Profit</t>
        </is>
      </c>
    </row>
    <row r="4">
      <c r="A4" s="8" t="n">
        <v>7571</v>
      </c>
      <c r="C4" s="8" t="n">
        <v>15242588</v>
      </c>
      <c r="E4" s="8" t="n">
        <v>9687078</v>
      </c>
      <c r="G4" s="8" t="n">
        <v>5555510</v>
      </c>
    </row>
    <row r="5"/>
    <row r="6"/>
    <row r="7">
      <c r="A7" s="3" t="inlineStr">
        <is>
          <t>Average Order Value</t>
        </is>
      </c>
      <c r="C7" s="3" t="inlineStr">
        <is>
          <t>Profit Margin</t>
        </is>
      </c>
      <c r="E7" s="3" t="inlineStr">
        <is>
          <t>Return Rate</t>
        </is>
      </c>
      <c r="G7" s="3" t="inlineStr">
        <is>
          <t>On-Time Delivery Rate</t>
        </is>
      </c>
    </row>
    <row r="8">
      <c r="A8" s="8" t="n">
        <v>2013.285959582618</v>
      </c>
      <c r="C8" s="8" t="n">
        <v>36.44728834762181</v>
      </c>
      <c r="E8" s="8" t="n">
        <v>8.083476423193765</v>
      </c>
      <c r="G8" s="8" t="n">
        <v>73.9550646416468</v>
      </c>
    </row>
    <row r="9"/>
    <row r="10"/>
    <row r="11">
      <c r="A11" s="3" t="inlineStr">
        <is>
          <t>Average Customer Satisfaction</t>
        </is>
      </c>
    </row>
    <row r="12">
      <c r="A12" s="8" t="n">
        <v>82.80333333333333</v>
      </c>
    </row>
  </sheetData>
  <mergeCells count="19">
    <mergeCell ref="A11:B11"/>
    <mergeCell ref="A1:H1"/>
    <mergeCell ref="G8:H8"/>
    <mergeCell ref="E8:F8"/>
    <mergeCell ref="C4:D4"/>
    <mergeCell ref="E4:F4"/>
    <mergeCell ref="A7:B7"/>
    <mergeCell ref="G7:H7"/>
    <mergeCell ref="A3:B3"/>
    <mergeCell ref="G3:H3"/>
    <mergeCell ref="A12:B12"/>
    <mergeCell ref="A8:B8"/>
    <mergeCell ref="C8:D8"/>
    <mergeCell ref="A4:B4"/>
    <mergeCell ref="G4:H4"/>
    <mergeCell ref="C7:D7"/>
    <mergeCell ref="E7:F7"/>
    <mergeCell ref="C3:D3"/>
    <mergeCell ref="E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2026-09-17T11:52:35Z</dcterms:created>
  <dcterms:modified xmlns:dcterms="http://purl.org/dc/terms/" xmlns:xsi="http://www.w3.org/2001/XMLSchema-instance" xsi:type="dcterms:W3CDTF">2026-09-17T11:52:55Z</dcterms:modified>
</cp:coreProperties>
</file>