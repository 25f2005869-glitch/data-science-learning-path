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structions1" sheetId="2" state="visible" r:id="rId2"/>
    <sheet xmlns:r="http://schemas.openxmlformats.org/officeDocument/2006/relationships" name="Presentation_Stages" sheetId="3" state="visible" r:id="rId3"/>
    <sheet xmlns:r="http://schemas.openxmlformats.org/officeDocument/2006/relationships" name="Analysis_Questions" sheetId="4" state="visible" r:id="rId4"/>
    <sheet xmlns:r="http://schemas.openxmlformats.org/officeDocument/2006/relationships" name="Data_Dictionary" sheetId="5" state="visible" r:id="rId5"/>
    <sheet xmlns:r="http://schemas.openxmlformats.org/officeDocument/2006/relationships" name="Credit_Risk_Data" sheetId="6" state="visible" r:id="rId6"/>
    <sheet xmlns:r="http://schemas.openxmlformats.org/officeDocument/2006/relationships" name="Monthly_Trend" sheetId="7" state="visible" r:id="rId7"/>
    <sheet xmlns:r="http://schemas.openxmlformats.org/officeDocument/2006/relationships" name="Product_Monthly" sheetId="8" state="visible" r:id="rId8"/>
    <sheet xmlns:r="http://schemas.openxmlformats.org/officeDocument/2006/relationships" name="Region_Monthly" sheetId="9" state="visible" r:id="rId9"/>
    <sheet xmlns:r="http://schemas.openxmlformats.org/officeDocument/2006/relationships" name="Credit_Risk_KPIs" sheetId="10" state="visible" r:id="rId10"/>
    <sheet xmlns:r="http://schemas.openxmlformats.org/officeDocument/2006/relationships" name="Business_Insights" sheetId="11" state="visible" r:id="rId11"/>
    <sheet xmlns:r="http://schemas.openxmlformats.org/officeDocument/2006/relationships" name="Credit_Risk_Presentation_Dashboard" sheetId="12" state="visible" r:id="rId12"/>
    <sheet xmlns:r="http://schemas.openxmlformats.org/officeDocument/2006/relationships" name="Trend_Questions" sheetId="13" state="visible" r:id="rId13"/>
    <sheet xmlns:r="http://schemas.openxmlformats.org/officeDocument/2006/relationships" name="Risk_Framework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Default Rate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'Monthly_Trend'!H1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'Monthly_Trend'!$A$2:$A$7</f>
            </numRef>
          </cat>
          <val>
            <numRef>
              <f>'Monthly_Trend'!$H$2:$H$7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Default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Loan Exposure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'Monthly_Trend'!C1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'Monthly_Trend'!$A$2:$A$7</f>
            </numRef>
          </cat>
          <val>
            <numRef>
              <f>'Monthly_Trend'!$C$2:$C$7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Loan Exposure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Credit Score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'Monthly_Trend'!D1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'Monthly_Trend'!$A$2:$A$7</f>
            </numRef>
          </cat>
          <val>
            <numRef>
              <f>'Monthly_Trend'!$D$2:$D$7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Credit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High-Risk Customer Share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'Monthly_Trend'!I1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'Monthly_Trend'!$A$2:$A$7</f>
            </numRef>
          </cat>
          <val>
            <numRef>
              <f>'Monthly_Trend'!$I$2:$I$7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6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21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21</row>
      <rowOff>0</rowOff>
    </from>
    <ext cx="468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Day 087 — Credit Risk Analysis Presentation</t>
        </is>
      </c>
      <c r="B1" s="1" t="n"/>
    </row>
    <row r="2">
      <c r="A2" s="2" t="inlineStr">
        <is>
          <t>Author</t>
        </is>
      </c>
      <c r="B2" s="2" t="inlineStr">
        <is>
          <t>Saloni Tiwari</t>
        </is>
      </c>
    </row>
    <row r="3">
      <c r="A3" s="2" t="inlineStr">
        <is>
          <t>Programme</t>
        </is>
      </c>
      <c r="B3" s="2" t="inlineStr">
        <is>
          <t>IIT Madras BS Degree — Diploma Level</t>
        </is>
      </c>
    </row>
    <row r="4">
      <c r="A4" s="2" t="inlineStr">
        <is>
          <t>Day</t>
        </is>
      </c>
      <c r="B4" s="2" t="inlineStr">
        <is>
          <t>087</t>
        </is>
      </c>
    </row>
    <row r="5">
      <c r="A5" s="2" t="inlineStr">
        <is>
          <t>Topic</t>
        </is>
      </c>
      <c r="B5" s="2" t="inlineStr">
        <is>
          <t>Credit Risk Analysis — Presentation</t>
        </is>
      </c>
    </row>
    <row r="6">
      <c r="A6" s="2" t="n"/>
      <c r="B6" s="2" t="n"/>
    </row>
    <row r="7">
      <c r="A7" s="2" t="inlineStr">
        <is>
          <t>Purpose</t>
        </is>
      </c>
      <c r="B7" s="2" t="inlineStr">
        <is>
          <t>Convert credit-risk analysis into a clear business presentation.</t>
        </is>
      </c>
    </row>
    <row r="8">
      <c r="A8" s="2" t="inlineStr">
        <is>
          <t>Presentation Flow</t>
        </is>
      </c>
      <c r="B8" s="2" t="inlineStr">
        <is>
          <t>Business Question → Dataset → Portfolio Trend → Product View → Regional View → KPI Summary → Interpretation → Limitations → Next Steps</t>
        </is>
      </c>
    </row>
    <row r="9">
      <c r="A9" s="2" t="inlineStr">
        <is>
          <t>Dataset</t>
        </is>
      </c>
      <c r="B9" s="2" t="inlineStr">
        <is>
          <t>Synthetic educational credit-risk dataset</t>
        </is>
      </c>
    </row>
    <row r="10">
      <c r="A10" s="2" t="inlineStr">
        <is>
          <t>Time Period</t>
        </is>
      </c>
      <c r="B10" s="2" t="inlineStr">
        <is>
          <t>January 2023 to June 2023</t>
        </is>
      </c>
    </row>
    <row r="11">
      <c r="A11" s="2" t="inlineStr">
        <is>
          <t>Products</t>
        </is>
      </c>
      <c r="B11" s="2" t="inlineStr">
        <is>
          <t>Personal Loan; Two-Wheeler Loan; Consumer Durable Loan</t>
        </is>
      </c>
    </row>
    <row r="12">
      <c r="A12" s="2" t="inlineStr">
        <is>
          <t>Regions</t>
        </is>
      </c>
      <c r="B12" s="2" t="inlineStr">
        <is>
          <t>North; South; West; East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</cols>
  <sheetData>
    <row r="1">
      <c r="A1" s="1" t="inlineStr">
        <is>
          <t>Stage</t>
        </is>
      </c>
      <c r="B1" s="1" t="inlineStr">
        <is>
          <t>Purpose</t>
        </is>
      </c>
    </row>
    <row r="2">
      <c r="A2" s="2" t="inlineStr">
        <is>
          <t>1. Business Question</t>
        </is>
      </c>
      <c r="B2" s="2" t="inlineStr">
        <is>
          <t>Define the question being answered</t>
        </is>
      </c>
    </row>
    <row r="3">
      <c r="A3" s="2" t="inlineStr">
        <is>
          <t>2. Dataset</t>
        </is>
      </c>
      <c r="B3" s="2" t="inlineStr">
        <is>
          <t>Explain data, period, products and regions</t>
        </is>
      </c>
    </row>
    <row r="4">
      <c r="A4" s="2" t="inlineStr">
        <is>
          <t>3. Portfolio Trend</t>
        </is>
      </c>
      <c r="B4" s="2" t="inlineStr">
        <is>
          <t>Show monthly movement</t>
        </is>
      </c>
    </row>
    <row r="5">
      <c r="A5" s="2" t="inlineStr">
        <is>
          <t>4. Product View</t>
        </is>
      </c>
      <c r="B5" s="2" t="inlineStr">
        <is>
          <t>Compare loan products</t>
        </is>
      </c>
    </row>
    <row r="6">
      <c r="A6" s="2" t="inlineStr">
        <is>
          <t>5. Regional View</t>
        </is>
      </c>
      <c r="B6" s="2" t="inlineStr">
        <is>
          <t>Compare regions</t>
        </is>
      </c>
    </row>
    <row r="7">
      <c r="A7" s="2" t="inlineStr">
        <is>
          <t>6. KPI Summary</t>
        </is>
      </c>
      <c r="B7" s="2" t="inlineStr">
        <is>
          <t>Present key metrics</t>
        </is>
      </c>
    </row>
    <row r="8">
      <c r="A8" s="2" t="inlineStr">
        <is>
          <t>7. Business Interpretation</t>
        </is>
      </c>
      <c r="B8" s="2" t="inlineStr">
        <is>
          <t>State evidence-based observations</t>
        </is>
      </c>
    </row>
    <row r="9">
      <c r="A9" s="2" t="inlineStr">
        <is>
          <t>8. Limitations</t>
        </is>
      </c>
      <c r="B9" s="2" t="inlineStr">
        <is>
          <t>Explain data and analysis limitations</t>
        </is>
      </c>
    </row>
    <row r="10">
      <c r="A10" s="2" t="inlineStr">
        <is>
          <t>9. Next Steps</t>
        </is>
      </c>
      <c r="B10" s="2" t="inlineStr">
        <is>
          <t>Identify further analysis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Question</t>
        </is>
      </c>
    </row>
    <row r="2">
      <c r="A2" s="2" t="inlineStr">
        <is>
          <t>How has credit risk moved across the six-month period?</t>
        </is>
      </c>
    </row>
    <row r="3">
      <c r="A3" s="2" t="inlineStr">
        <is>
          <t>Which month has the highest loan exposure?</t>
        </is>
      </c>
    </row>
    <row r="4">
      <c r="A4" s="2" t="inlineStr">
        <is>
          <t>How has the default rate changed?</t>
        </is>
      </c>
    </row>
    <row r="5">
      <c r="A5" s="2" t="inlineStr">
        <is>
          <t>Which product has the largest exposure?</t>
        </is>
      </c>
    </row>
    <row r="6">
      <c r="A6" s="2" t="inlineStr">
        <is>
          <t>How do regional default rates compare?</t>
        </is>
      </c>
    </row>
    <row r="7">
      <c r="A7" s="2" t="inlineStr">
        <is>
          <t>How has average credit score changed?</t>
        </is>
      </c>
    </row>
    <row r="8">
      <c r="A8" s="2" t="inlineStr">
        <is>
          <t>How has high-risk share changed?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Field</t>
        </is>
      </c>
      <c r="B1" s="1" t="inlineStr">
        <is>
          <t>Description</t>
        </is>
      </c>
    </row>
    <row r="2">
      <c r="A2" s="2" t="inlineStr">
        <is>
          <t>Record_ID</t>
        </is>
      </c>
      <c r="B2" s="2" t="inlineStr">
        <is>
          <t>Unique record identifier</t>
        </is>
      </c>
    </row>
    <row r="3">
      <c r="A3" s="2" t="inlineStr">
        <is>
          <t>Month</t>
        </is>
      </c>
      <c r="B3" s="2" t="inlineStr">
        <is>
          <t>Month of observation</t>
        </is>
      </c>
    </row>
    <row r="4">
      <c r="A4" s="2" t="inlineStr">
        <is>
          <t>Customer_ID</t>
        </is>
      </c>
      <c r="B4" s="2" t="inlineStr">
        <is>
          <t>Customer identifier</t>
        </is>
      </c>
    </row>
    <row r="5">
      <c r="A5" s="2" t="inlineStr">
        <is>
          <t>Employment_Type</t>
        </is>
      </c>
      <c r="B5" s="2" t="inlineStr">
        <is>
          <t>Employment category</t>
        </is>
      </c>
    </row>
    <row r="6">
      <c r="A6" s="2" t="inlineStr">
        <is>
          <t>Region</t>
        </is>
      </c>
      <c r="B6" s="2" t="inlineStr">
        <is>
          <t>Geographical region</t>
        </is>
      </c>
    </row>
    <row r="7">
      <c r="A7" s="2" t="inlineStr">
        <is>
          <t>Loan_Product</t>
        </is>
      </c>
      <c r="B7" s="2" t="inlineStr">
        <is>
          <t>Loan product</t>
        </is>
      </c>
    </row>
    <row r="8">
      <c r="A8" s="2" t="inlineStr">
        <is>
          <t>Age</t>
        </is>
      </c>
      <c r="B8" s="2" t="inlineStr">
        <is>
          <t>Customer age</t>
        </is>
      </c>
    </row>
    <row r="9">
      <c r="A9" s="2" t="inlineStr">
        <is>
          <t>Monthly_Income_Rupee</t>
        </is>
      </c>
      <c r="B9" s="2" t="inlineStr">
        <is>
          <t>Monthly income</t>
        </is>
      </c>
    </row>
    <row r="10">
      <c r="A10" s="2" t="inlineStr">
        <is>
          <t>Loan_Amount_Rupee</t>
        </is>
      </c>
      <c r="B10" s="2" t="inlineStr">
        <is>
          <t>Loan amount</t>
        </is>
      </c>
    </row>
    <row r="11">
      <c r="A11" s="2" t="inlineStr">
        <is>
          <t>Tenure_Months</t>
        </is>
      </c>
      <c r="B11" s="2" t="inlineStr">
        <is>
          <t>Loan tenure</t>
        </is>
      </c>
    </row>
    <row r="12">
      <c r="A12" s="2" t="inlineStr">
        <is>
          <t>Debt_to_Income_%</t>
        </is>
      </c>
      <c r="B12" s="2" t="inlineStr">
        <is>
          <t>Debt-to-income percentage</t>
        </is>
      </c>
    </row>
    <row r="13">
      <c r="A13" s="2" t="inlineStr">
        <is>
          <t>Credit_Score</t>
        </is>
      </c>
      <c r="B13" s="2" t="inlineStr">
        <is>
          <t>Credit score</t>
        </is>
      </c>
    </row>
    <row r="14">
      <c r="A14" s="2" t="inlineStr">
        <is>
          <t>Past_Delinquencies</t>
        </is>
      </c>
      <c r="B14" s="2" t="inlineStr">
        <is>
          <t>Past delinquency count</t>
        </is>
      </c>
    </row>
    <row r="15">
      <c r="A15" s="2" t="inlineStr">
        <is>
          <t>Default_Flag</t>
        </is>
      </c>
      <c r="B15" s="2" t="inlineStr">
        <is>
          <t>Default indicator</t>
        </is>
      </c>
    </row>
    <row r="16">
      <c r="A16" s="2" t="inlineStr">
        <is>
          <t>High_Risk_Flag</t>
        </is>
      </c>
      <c r="B16" s="2" t="inlineStr">
        <is>
          <t>High-risk indicator</t>
        </is>
      </c>
    </row>
    <row r="17">
      <c r="A17" s="2" t="inlineStr">
        <is>
          <t>Loan_Exposure_Rupee</t>
        </is>
      </c>
      <c r="B17" s="2" t="inlineStr">
        <is>
          <t>Loan exposure amount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7" customWidth="1" min="4" max="4"/>
    <col width="12" customWidth="1" min="5" max="5"/>
    <col width="23" customWidth="1" min="6" max="6"/>
    <col width="12" customWidth="1" min="7" max="7"/>
    <col width="22" customWidth="1" min="8" max="8"/>
    <col width="19" customWidth="1" min="9" max="9"/>
    <col width="15" customWidth="1" min="10" max="10"/>
    <col width="18" customWidth="1" min="11" max="11"/>
    <col width="14" customWidth="1" min="12" max="12"/>
    <col width="20" customWidth="1" min="13" max="13"/>
    <col width="14" customWidth="1" min="14" max="14"/>
    <col width="16" customWidth="1" min="15" max="15"/>
    <col width="21" customWidth="1" min="16" max="16"/>
  </cols>
  <sheetData>
    <row r="1">
      <c r="A1" s="1" t="inlineStr">
        <is>
          <t>Record_ID</t>
        </is>
      </c>
      <c r="B1" s="1" t="inlineStr">
        <is>
          <t>Month</t>
        </is>
      </c>
      <c r="C1" s="1" t="inlineStr">
        <is>
          <t>Customer_ID</t>
        </is>
      </c>
      <c r="D1" s="1" t="inlineStr">
        <is>
          <t>Employment_Type</t>
        </is>
      </c>
      <c r="E1" s="1" t="inlineStr">
        <is>
          <t>Region</t>
        </is>
      </c>
      <c r="F1" s="1" t="inlineStr">
        <is>
          <t>Loan_Product</t>
        </is>
      </c>
      <c r="G1" s="1" t="inlineStr">
        <is>
          <t>Age</t>
        </is>
      </c>
      <c r="H1" s="1" t="inlineStr">
        <is>
          <t>Monthly_Income_Rupee</t>
        </is>
      </c>
      <c r="I1" s="1" t="inlineStr">
        <is>
          <t>Loan_Amount_Rupee</t>
        </is>
      </c>
      <c r="J1" s="1" t="inlineStr">
        <is>
          <t>Tenure_Months</t>
        </is>
      </c>
      <c r="K1" s="1" t="inlineStr">
        <is>
          <t>Debt_to_Income_%</t>
        </is>
      </c>
      <c r="L1" s="1" t="inlineStr">
        <is>
          <t>Credit_Score</t>
        </is>
      </c>
      <c r="M1" s="1" t="inlineStr">
        <is>
          <t>Past_Delinquencies</t>
        </is>
      </c>
      <c r="N1" s="1" t="inlineStr">
        <is>
          <t>Default_Flag</t>
        </is>
      </c>
      <c r="O1" s="1" t="inlineStr">
        <is>
          <t>High_Risk_Flag</t>
        </is>
      </c>
      <c r="P1" s="1" t="inlineStr">
        <is>
          <t>Loan_Exposure_Rupee</t>
        </is>
      </c>
    </row>
    <row r="2">
      <c r="A2" s="2" t="n">
        <v>1</v>
      </c>
      <c r="B2" s="2" t="inlineStr">
        <is>
          <t>January 2023</t>
        </is>
      </c>
      <c r="C2" s="2" t="n">
        <v>1001</v>
      </c>
      <c r="D2" s="2" t="inlineStr">
        <is>
          <t>Salaried</t>
        </is>
      </c>
      <c r="E2" s="2" t="inlineStr">
        <is>
          <t>North</t>
        </is>
      </c>
      <c r="F2" s="2" t="inlineStr">
        <is>
          <t>Personal Loan</t>
        </is>
      </c>
      <c r="G2" s="2" t="n">
        <v>24</v>
      </c>
      <c r="H2" s="2" t="n">
        <v>30000</v>
      </c>
      <c r="I2" s="2" t="n">
        <v>300000</v>
      </c>
      <c r="J2" s="2" t="n">
        <v>24</v>
      </c>
      <c r="K2" s="2" t="n">
        <v>29.2</v>
      </c>
      <c r="L2" s="2" t="n">
        <v>727</v>
      </c>
      <c r="M2" s="2" t="n">
        <v>0</v>
      </c>
      <c r="N2" s="2" t="n">
        <v>0</v>
      </c>
      <c r="O2" s="2" t="n">
        <v>0</v>
      </c>
      <c r="P2" s="2" t="n">
        <v>300000</v>
      </c>
    </row>
    <row r="3">
      <c r="A3" s="2" t="n">
        <v>2</v>
      </c>
      <c r="B3" s="2" t="inlineStr">
        <is>
          <t>January 2023</t>
        </is>
      </c>
      <c r="C3" s="2" t="n">
        <v>1002</v>
      </c>
      <c r="D3" s="2" t="inlineStr">
        <is>
          <t>Self-Employed</t>
        </is>
      </c>
      <c r="E3" s="2" t="inlineStr">
        <is>
          <t>South</t>
        </is>
      </c>
      <c r="F3" s="2" t="inlineStr">
        <is>
          <t>Two-Wheeler Loan</t>
        </is>
      </c>
      <c r="G3" s="2" t="n">
        <v>29</v>
      </c>
      <c r="H3" s="2" t="n">
        <v>37000</v>
      </c>
      <c r="I3" s="2" t="n">
        <v>390000</v>
      </c>
      <c r="J3" s="2" t="n">
        <v>36</v>
      </c>
      <c r="K3" s="2" t="n">
        <v>32.4</v>
      </c>
      <c r="L3" s="2" t="n">
        <v>719</v>
      </c>
      <c r="M3" s="2" t="n">
        <v>0</v>
      </c>
      <c r="N3" s="2" t="n">
        <v>0</v>
      </c>
      <c r="O3" s="2" t="n">
        <v>0</v>
      </c>
      <c r="P3" s="2" t="n">
        <v>390000</v>
      </c>
    </row>
    <row r="4">
      <c r="A4" s="2" t="n">
        <v>3</v>
      </c>
      <c r="B4" s="2" t="inlineStr">
        <is>
          <t>January 2023</t>
        </is>
      </c>
      <c r="C4" s="2" t="n">
        <v>1003</v>
      </c>
      <c r="D4" s="2" t="inlineStr">
        <is>
          <t>Salaried</t>
        </is>
      </c>
      <c r="E4" s="2" t="inlineStr">
        <is>
          <t>West</t>
        </is>
      </c>
      <c r="F4" s="2" t="inlineStr">
        <is>
          <t>Consumer Durable Loan</t>
        </is>
      </c>
      <c r="G4" s="2" t="n">
        <v>34</v>
      </c>
      <c r="H4" s="2" t="n">
        <v>44000</v>
      </c>
      <c r="I4" s="2" t="n">
        <v>480000</v>
      </c>
      <c r="J4" s="2" t="n">
        <v>48</v>
      </c>
      <c r="K4" s="2" t="n">
        <v>31.6</v>
      </c>
      <c r="L4" s="2" t="n">
        <v>710</v>
      </c>
      <c r="M4" s="2" t="n">
        <v>0</v>
      </c>
      <c r="N4" s="2" t="n">
        <v>0</v>
      </c>
      <c r="O4" s="2" t="n">
        <v>0</v>
      </c>
      <c r="P4" s="2" t="n">
        <v>480000</v>
      </c>
    </row>
    <row r="5">
      <c r="A5" s="2" t="n">
        <v>4</v>
      </c>
      <c r="B5" s="2" t="inlineStr">
        <is>
          <t>January 2023</t>
        </is>
      </c>
      <c r="C5" s="2" t="n">
        <v>1004</v>
      </c>
      <c r="D5" s="2" t="inlineStr">
        <is>
          <t>Business</t>
        </is>
      </c>
      <c r="E5" s="2" t="inlineStr">
        <is>
          <t>East</t>
        </is>
      </c>
      <c r="F5" s="2" t="inlineStr">
        <is>
          <t>Personal Loan</t>
        </is>
      </c>
      <c r="G5" s="2" t="n">
        <v>39</v>
      </c>
      <c r="H5" s="2" t="n">
        <v>51000</v>
      </c>
      <c r="I5" s="2" t="n">
        <v>570000</v>
      </c>
      <c r="J5" s="2" t="n">
        <v>60</v>
      </c>
      <c r="K5" s="2" t="n">
        <v>33.2</v>
      </c>
      <c r="L5" s="2" t="n">
        <v>722</v>
      </c>
      <c r="M5" s="2" t="n">
        <v>1</v>
      </c>
      <c r="N5" s="2" t="n">
        <v>0</v>
      </c>
      <c r="O5" s="2" t="n">
        <v>0</v>
      </c>
      <c r="P5" s="2" t="n">
        <v>570000</v>
      </c>
    </row>
    <row r="6">
      <c r="A6" s="2" t="n">
        <v>5</v>
      </c>
      <c r="B6" s="2" t="inlineStr">
        <is>
          <t>January 2023</t>
        </is>
      </c>
      <c r="C6" s="2" t="n">
        <v>1005</v>
      </c>
      <c r="D6" s="2" t="inlineStr">
        <is>
          <t>Salaried</t>
        </is>
      </c>
      <c r="E6" s="2" t="inlineStr">
        <is>
          <t>North</t>
        </is>
      </c>
      <c r="F6" s="2" t="inlineStr">
        <is>
          <t>Two-Wheeler Loan</t>
        </is>
      </c>
      <c r="G6" s="2" t="n">
        <v>44</v>
      </c>
      <c r="H6" s="2" t="n">
        <v>58000</v>
      </c>
      <c r="I6" s="2" t="n">
        <v>660000</v>
      </c>
      <c r="J6" s="2" t="n">
        <v>36</v>
      </c>
      <c r="K6" s="2" t="n">
        <v>30.2</v>
      </c>
      <c r="L6" s="2" t="n">
        <v>705</v>
      </c>
      <c r="M6" s="2" t="n">
        <v>1</v>
      </c>
      <c r="N6" s="2" t="n">
        <v>1</v>
      </c>
      <c r="O6" s="2" t="n">
        <v>1</v>
      </c>
      <c r="P6" s="2" t="n">
        <v>660000</v>
      </c>
    </row>
    <row r="7">
      <c r="A7" s="2" t="n">
        <v>6</v>
      </c>
      <c r="B7" s="2" t="inlineStr">
        <is>
          <t>February 2023</t>
        </is>
      </c>
      <c r="C7" s="2" t="n">
        <v>1006</v>
      </c>
      <c r="D7" s="2" t="inlineStr">
        <is>
          <t>Salaried</t>
        </is>
      </c>
      <c r="E7" s="2" t="inlineStr">
        <is>
          <t>South</t>
        </is>
      </c>
      <c r="F7" s="2" t="inlineStr">
        <is>
          <t>Personal Loan</t>
        </is>
      </c>
      <c r="G7" s="2" t="n">
        <v>25</v>
      </c>
      <c r="H7" s="2" t="n">
        <v>32500</v>
      </c>
      <c r="I7" s="2" t="n">
        <v>345000</v>
      </c>
      <c r="J7" s="2" t="n">
        <v>24</v>
      </c>
      <c r="K7" s="2" t="n">
        <v>28.8</v>
      </c>
      <c r="L7" s="2" t="n">
        <v>730</v>
      </c>
      <c r="M7" s="2" t="n">
        <v>0</v>
      </c>
      <c r="N7" s="2" t="n">
        <v>0</v>
      </c>
      <c r="O7" s="2" t="n">
        <v>0</v>
      </c>
      <c r="P7" s="2" t="n">
        <v>345000</v>
      </c>
    </row>
    <row r="8">
      <c r="A8" s="2" t="n">
        <v>7</v>
      </c>
      <c r="B8" s="2" t="inlineStr">
        <is>
          <t>February 2023</t>
        </is>
      </c>
      <c r="C8" s="2" t="n">
        <v>1007</v>
      </c>
      <c r="D8" s="2" t="inlineStr">
        <is>
          <t>Self-Employed</t>
        </is>
      </c>
      <c r="E8" s="2" t="inlineStr">
        <is>
          <t>West</t>
        </is>
      </c>
      <c r="F8" s="2" t="inlineStr">
        <is>
          <t>Two-Wheeler Loan</t>
        </is>
      </c>
      <c r="G8" s="2" t="n">
        <v>30</v>
      </c>
      <c r="H8" s="2" t="n">
        <v>39500</v>
      </c>
      <c r="I8" s="2" t="n">
        <v>435000</v>
      </c>
      <c r="J8" s="2" t="n">
        <v>36</v>
      </c>
      <c r="K8" s="2" t="n">
        <v>32</v>
      </c>
      <c r="L8" s="2" t="n">
        <v>722</v>
      </c>
      <c r="M8" s="2" t="n">
        <v>0</v>
      </c>
      <c r="N8" s="2" t="n">
        <v>0</v>
      </c>
      <c r="O8" s="2" t="n">
        <v>0</v>
      </c>
      <c r="P8" s="2" t="n">
        <v>435000</v>
      </c>
    </row>
    <row r="9">
      <c r="A9" s="2" t="n">
        <v>8</v>
      </c>
      <c r="B9" s="2" t="inlineStr">
        <is>
          <t>February 2023</t>
        </is>
      </c>
      <c r="C9" s="2" t="n">
        <v>1008</v>
      </c>
      <c r="D9" s="2" t="inlineStr">
        <is>
          <t>Salaried</t>
        </is>
      </c>
      <c r="E9" s="2" t="inlineStr">
        <is>
          <t>East</t>
        </is>
      </c>
      <c r="F9" s="2" t="inlineStr">
        <is>
          <t>Consumer Durable Loan</t>
        </is>
      </c>
      <c r="G9" s="2" t="n">
        <v>35</v>
      </c>
      <c r="H9" s="2" t="n">
        <v>46500</v>
      </c>
      <c r="I9" s="2" t="n">
        <v>525000</v>
      </c>
      <c r="J9" s="2" t="n">
        <v>48</v>
      </c>
      <c r="K9" s="2" t="n">
        <v>31.2</v>
      </c>
      <c r="L9" s="2" t="n">
        <v>713</v>
      </c>
      <c r="M9" s="2" t="n">
        <v>0</v>
      </c>
      <c r="N9" s="2" t="n">
        <v>0</v>
      </c>
      <c r="O9" s="2" t="n">
        <v>0</v>
      </c>
      <c r="P9" s="2" t="n">
        <v>525000</v>
      </c>
    </row>
    <row r="10">
      <c r="A10" s="2" t="n">
        <v>9</v>
      </c>
      <c r="B10" s="2" t="inlineStr">
        <is>
          <t>February 2023</t>
        </is>
      </c>
      <c r="C10" s="2" t="n">
        <v>1009</v>
      </c>
      <c r="D10" s="2" t="inlineStr">
        <is>
          <t>Business</t>
        </is>
      </c>
      <c r="E10" s="2" t="inlineStr">
        <is>
          <t>North</t>
        </is>
      </c>
      <c r="F10" s="2" t="inlineStr">
        <is>
          <t>Personal Loan</t>
        </is>
      </c>
      <c r="G10" s="2" t="n">
        <v>40</v>
      </c>
      <c r="H10" s="2" t="n">
        <v>53500</v>
      </c>
      <c r="I10" s="2" t="n">
        <v>615000</v>
      </c>
      <c r="J10" s="2" t="n">
        <v>60</v>
      </c>
      <c r="K10" s="2" t="n">
        <v>32.8</v>
      </c>
      <c r="L10" s="2" t="n">
        <v>725</v>
      </c>
      <c r="M10" s="2" t="n">
        <v>1</v>
      </c>
      <c r="N10" s="2" t="n">
        <v>0</v>
      </c>
      <c r="O10" s="2" t="n">
        <v>0</v>
      </c>
      <c r="P10" s="2" t="n">
        <v>615000</v>
      </c>
    </row>
    <row r="11">
      <c r="A11" s="2" t="n">
        <v>10</v>
      </c>
      <c r="B11" s="2" t="inlineStr">
        <is>
          <t>February 2023</t>
        </is>
      </c>
      <c r="C11" s="2" t="n">
        <v>1010</v>
      </c>
      <c r="D11" s="2" t="inlineStr">
        <is>
          <t>Salaried</t>
        </is>
      </c>
      <c r="E11" s="2" t="inlineStr">
        <is>
          <t>South</t>
        </is>
      </c>
      <c r="F11" s="2" t="inlineStr">
        <is>
          <t>Two-Wheeler Loan</t>
        </is>
      </c>
      <c r="G11" s="2" t="n">
        <v>45</v>
      </c>
      <c r="H11" s="2" t="n">
        <v>60500</v>
      </c>
      <c r="I11" s="2" t="n">
        <v>705000</v>
      </c>
      <c r="J11" s="2" t="n">
        <v>36</v>
      </c>
      <c r="K11" s="2" t="n">
        <v>29.8</v>
      </c>
      <c r="L11" s="2" t="n">
        <v>708</v>
      </c>
      <c r="M11" s="2" t="n">
        <v>1</v>
      </c>
      <c r="N11" s="2" t="n">
        <v>1</v>
      </c>
      <c r="O11" s="2" t="n">
        <v>1</v>
      </c>
      <c r="P11" s="2" t="n">
        <v>705000</v>
      </c>
    </row>
    <row r="12">
      <c r="A12" s="2" t="n">
        <v>11</v>
      </c>
      <c r="B12" s="2" t="inlineStr">
        <is>
          <t>March 2023</t>
        </is>
      </c>
      <c r="C12" s="2" t="n">
        <v>1011</v>
      </c>
      <c r="D12" s="2" t="inlineStr">
        <is>
          <t>Salaried</t>
        </is>
      </c>
      <c r="E12" s="2" t="inlineStr">
        <is>
          <t>West</t>
        </is>
      </c>
      <c r="F12" s="2" t="inlineStr">
        <is>
          <t>Personal Loan</t>
        </is>
      </c>
      <c r="G12" s="2" t="n">
        <v>26</v>
      </c>
      <c r="H12" s="2" t="n">
        <v>35000</v>
      </c>
      <c r="I12" s="2" t="n">
        <v>390000</v>
      </c>
      <c r="J12" s="2" t="n">
        <v>24</v>
      </c>
      <c r="K12" s="2" t="n">
        <v>30.4</v>
      </c>
      <c r="L12" s="2" t="n">
        <v>724</v>
      </c>
      <c r="M12" s="2" t="n">
        <v>0</v>
      </c>
      <c r="N12" s="2" t="n">
        <v>0</v>
      </c>
      <c r="O12" s="2" t="n">
        <v>0</v>
      </c>
      <c r="P12" s="2" t="n">
        <v>390000</v>
      </c>
    </row>
    <row r="13">
      <c r="A13" s="2" t="n">
        <v>12</v>
      </c>
      <c r="B13" s="2" t="inlineStr">
        <is>
          <t>March 2023</t>
        </is>
      </c>
      <c r="C13" s="2" t="n">
        <v>1012</v>
      </c>
      <c r="D13" s="2" t="inlineStr">
        <is>
          <t>Self-Employed</t>
        </is>
      </c>
      <c r="E13" s="2" t="inlineStr">
        <is>
          <t>East</t>
        </is>
      </c>
      <c r="F13" s="2" t="inlineStr">
        <is>
          <t>Two-Wheeler Loan</t>
        </is>
      </c>
      <c r="G13" s="2" t="n">
        <v>31</v>
      </c>
      <c r="H13" s="2" t="n">
        <v>42000</v>
      </c>
      <c r="I13" s="2" t="n">
        <v>480000</v>
      </c>
      <c r="J13" s="2" t="n">
        <v>36</v>
      </c>
      <c r="K13" s="2" t="n">
        <v>33.6</v>
      </c>
      <c r="L13" s="2" t="n">
        <v>716</v>
      </c>
      <c r="M13" s="2" t="n">
        <v>0</v>
      </c>
      <c r="N13" s="2" t="n">
        <v>0</v>
      </c>
      <c r="O13" s="2" t="n">
        <v>0</v>
      </c>
      <c r="P13" s="2" t="n">
        <v>480000</v>
      </c>
    </row>
    <row r="14">
      <c r="A14" s="2" t="n">
        <v>13</v>
      </c>
      <c r="B14" s="2" t="inlineStr">
        <is>
          <t>March 2023</t>
        </is>
      </c>
      <c r="C14" s="2" t="n">
        <v>1013</v>
      </c>
      <c r="D14" s="2" t="inlineStr">
        <is>
          <t>Salaried</t>
        </is>
      </c>
      <c r="E14" s="2" t="inlineStr">
        <is>
          <t>North</t>
        </is>
      </c>
      <c r="F14" s="2" t="inlineStr">
        <is>
          <t>Consumer Durable Loan</t>
        </is>
      </c>
      <c r="G14" s="2" t="n">
        <v>36</v>
      </c>
      <c r="H14" s="2" t="n">
        <v>49000</v>
      </c>
      <c r="I14" s="2" t="n">
        <v>570000</v>
      </c>
      <c r="J14" s="2" t="n">
        <v>48</v>
      </c>
      <c r="K14" s="2" t="n">
        <v>32.8</v>
      </c>
      <c r="L14" s="2" t="n">
        <v>707</v>
      </c>
      <c r="M14" s="2" t="n">
        <v>0</v>
      </c>
      <c r="N14" s="2" t="n">
        <v>0</v>
      </c>
      <c r="O14" s="2" t="n">
        <v>0</v>
      </c>
      <c r="P14" s="2" t="n">
        <v>570000</v>
      </c>
    </row>
    <row r="15">
      <c r="A15" s="2" t="n">
        <v>14</v>
      </c>
      <c r="B15" s="2" t="inlineStr">
        <is>
          <t>March 2023</t>
        </is>
      </c>
      <c r="C15" s="2" t="n">
        <v>1014</v>
      </c>
      <c r="D15" s="2" t="inlineStr">
        <is>
          <t>Business</t>
        </is>
      </c>
      <c r="E15" s="2" t="inlineStr">
        <is>
          <t>South</t>
        </is>
      </c>
      <c r="F15" s="2" t="inlineStr">
        <is>
          <t>Personal Loan</t>
        </is>
      </c>
      <c r="G15" s="2" t="n">
        <v>41</v>
      </c>
      <c r="H15" s="2" t="n">
        <v>56000</v>
      </c>
      <c r="I15" s="2" t="n">
        <v>660000</v>
      </c>
      <c r="J15" s="2" t="n">
        <v>60</v>
      </c>
      <c r="K15" s="2" t="n">
        <v>34.4</v>
      </c>
      <c r="L15" s="2" t="n">
        <v>719</v>
      </c>
      <c r="M15" s="2" t="n">
        <v>1</v>
      </c>
      <c r="N15" s="2" t="n">
        <v>0</v>
      </c>
      <c r="O15" s="2" t="n">
        <v>1</v>
      </c>
      <c r="P15" s="2" t="n">
        <v>660000</v>
      </c>
    </row>
    <row r="16">
      <c r="A16" s="2" t="n">
        <v>15</v>
      </c>
      <c r="B16" s="2" t="inlineStr">
        <is>
          <t>March 2023</t>
        </is>
      </c>
      <c r="C16" s="2" t="n">
        <v>1015</v>
      </c>
      <c r="D16" s="2" t="inlineStr">
        <is>
          <t>Salaried</t>
        </is>
      </c>
      <c r="E16" s="2" t="inlineStr">
        <is>
          <t>West</t>
        </is>
      </c>
      <c r="F16" s="2" t="inlineStr">
        <is>
          <t>Two-Wheeler Loan</t>
        </is>
      </c>
      <c r="G16" s="2" t="n">
        <v>46</v>
      </c>
      <c r="H16" s="2" t="n">
        <v>63000</v>
      </c>
      <c r="I16" s="2" t="n">
        <v>300000</v>
      </c>
      <c r="J16" s="2" t="n">
        <v>36</v>
      </c>
      <c r="K16" s="2" t="n">
        <v>31.4</v>
      </c>
      <c r="L16" s="2" t="n">
        <v>702</v>
      </c>
      <c r="M16" s="2" t="n">
        <v>1</v>
      </c>
      <c r="N16" s="2" t="n">
        <v>1</v>
      </c>
      <c r="O16" s="2" t="n">
        <v>1</v>
      </c>
      <c r="P16" s="2" t="n">
        <v>300000</v>
      </c>
    </row>
    <row r="17">
      <c r="A17" s="2" t="n">
        <v>16</v>
      </c>
      <c r="B17" s="2" t="inlineStr">
        <is>
          <t>April 2023</t>
        </is>
      </c>
      <c r="C17" s="2" t="n">
        <v>1016</v>
      </c>
      <c r="D17" s="2" t="inlineStr">
        <is>
          <t>Salaried</t>
        </is>
      </c>
      <c r="E17" s="2" t="inlineStr">
        <is>
          <t>East</t>
        </is>
      </c>
      <c r="F17" s="2" t="inlineStr">
        <is>
          <t>Personal Loan</t>
        </is>
      </c>
      <c r="G17" s="2" t="n">
        <v>27</v>
      </c>
      <c r="H17" s="2" t="n">
        <v>37500</v>
      </c>
      <c r="I17" s="2" t="n">
        <v>435000</v>
      </c>
      <c r="J17" s="2" t="n">
        <v>24</v>
      </c>
      <c r="K17" s="2" t="n">
        <v>27.9</v>
      </c>
      <c r="L17" s="2" t="n">
        <v>733</v>
      </c>
      <c r="M17" s="2" t="n">
        <v>0</v>
      </c>
      <c r="N17" s="2" t="n">
        <v>0</v>
      </c>
      <c r="O17" s="2" t="n">
        <v>0</v>
      </c>
      <c r="P17" s="2" t="n">
        <v>435000</v>
      </c>
    </row>
    <row r="18">
      <c r="A18" s="2" t="n">
        <v>17</v>
      </c>
      <c r="B18" s="2" t="inlineStr">
        <is>
          <t>April 2023</t>
        </is>
      </c>
      <c r="C18" s="2" t="n">
        <v>1017</v>
      </c>
      <c r="D18" s="2" t="inlineStr">
        <is>
          <t>Self-Employed</t>
        </is>
      </c>
      <c r="E18" s="2" t="inlineStr">
        <is>
          <t>North</t>
        </is>
      </c>
      <c r="F18" s="2" t="inlineStr">
        <is>
          <t>Two-Wheeler Loan</t>
        </is>
      </c>
      <c r="G18" s="2" t="n">
        <v>32</v>
      </c>
      <c r="H18" s="2" t="n">
        <v>44500</v>
      </c>
      <c r="I18" s="2" t="n">
        <v>525000</v>
      </c>
      <c r="J18" s="2" t="n">
        <v>36</v>
      </c>
      <c r="K18" s="2" t="n">
        <v>31.1</v>
      </c>
      <c r="L18" s="2" t="n">
        <v>725</v>
      </c>
      <c r="M18" s="2" t="n">
        <v>0</v>
      </c>
      <c r="N18" s="2" t="n">
        <v>0</v>
      </c>
      <c r="O18" s="2" t="n">
        <v>0</v>
      </c>
      <c r="P18" s="2" t="n">
        <v>525000</v>
      </c>
    </row>
    <row r="19">
      <c r="A19" s="2" t="n">
        <v>18</v>
      </c>
      <c r="B19" s="2" t="inlineStr">
        <is>
          <t>April 2023</t>
        </is>
      </c>
      <c r="C19" s="2" t="n">
        <v>1018</v>
      </c>
      <c r="D19" s="2" t="inlineStr">
        <is>
          <t>Salaried</t>
        </is>
      </c>
      <c r="E19" s="2" t="inlineStr">
        <is>
          <t>South</t>
        </is>
      </c>
      <c r="F19" s="2" t="inlineStr">
        <is>
          <t>Consumer Durable Loan</t>
        </is>
      </c>
      <c r="G19" s="2" t="n">
        <v>37</v>
      </c>
      <c r="H19" s="2" t="n">
        <v>51500</v>
      </c>
      <c r="I19" s="2" t="n">
        <v>615000</v>
      </c>
      <c r="J19" s="2" t="n">
        <v>48</v>
      </c>
      <c r="K19" s="2" t="n">
        <v>30.3</v>
      </c>
      <c r="L19" s="2" t="n">
        <v>716</v>
      </c>
      <c r="M19" s="2" t="n">
        <v>0</v>
      </c>
      <c r="N19" s="2" t="n">
        <v>0</v>
      </c>
      <c r="O19" s="2" t="n">
        <v>0</v>
      </c>
      <c r="P19" s="2" t="n">
        <v>615000</v>
      </c>
    </row>
    <row r="20">
      <c r="A20" s="2" t="n">
        <v>19</v>
      </c>
      <c r="B20" s="2" t="inlineStr">
        <is>
          <t>April 2023</t>
        </is>
      </c>
      <c r="C20" s="2" t="n">
        <v>1019</v>
      </c>
      <c r="D20" s="2" t="inlineStr">
        <is>
          <t>Business</t>
        </is>
      </c>
      <c r="E20" s="2" t="inlineStr">
        <is>
          <t>West</t>
        </is>
      </c>
      <c r="F20" s="2" t="inlineStr">
        <is>
          <t>Personal Loan</t>
        </is>
      </c>
      <c r="G20" s="2" t="n">
        <v>42</v>
      </c>
      <c r="H20" s="2" t="n">
        <v>58500</v>
      </c>
      <c r="I20" s="2" t="n">
        <v>705000</v>
      </c>
      <c r="J20" s="2" t="n">
        <v>60</v>
      </c>
      <c r="K20" s="2" t="n">
        <v>31.9</v>
      </c>
      <c r="L20" s="2" t="n">
        <v>728</v>
      </c>
      <c r="M20" s="2" t="n">
        <v>1</v>
      </c>
      <c r="N20" s="2" t="n">
        <v>0</v>
      </c>
      <c r="O20" s="2" t="n">
        <v>0</v>
      </c>
      <c r="P20" s="2" t="n">
        <v>705000</v>
      </c>
    </row>
    <row r="21">
      <c r="A21" s="2" t="n">
        <v>20</v>
      </c>
      <c r="B21" s="2" t="inlineStr">
        <is>
          <t>April 2023</t>
        </is>
      </c>
      <c r="C21" s="2" t="n">
        <v>1020</v>
      </c>
      <c r="D21" s="2" t="inlineStr">
        <is>
          <t>Salaried</t>
        </is>
      </c>
      <c r="E21" s="2" t="inlineStr">
        <is>
          <t>East</t>
        </is>
      </c>
      <c r="F21" s="2" t="inlineStr">
        <is>
          <t>Two-Wheeler Loan</t>
        </is>
      </c>
      <c r="G21" s="2" t="n">
        <v>47</v>
      </c>
      <c r="H21" s="2" t="n">
        <v>30500</v>
      </c>
      <c r="I21" s="2" t="n">
        <v>345000</v>
      </c>
      <c r="J21" s="2" t="n">
        <v>36</v>
      </c>
      <c r="K21" s="2" t="n">
        <v>28.9</v>
      </c>
      <c r="L21" s="2" t="n">
        <v>711</v>
      </c>
      <c r="M21" s="2" t="n">
        <v>1</v>
      </c>
      <c r="N21" s="2" t="n">
        <v>0</v>
      </c>
      <c r="O21" s="2" t="n">
        <v>1</v>
      </c>
      <c r="P21" s="2" t="n">
        <v>345000</v>
      </c>
    </row>
    <row r="22">
      <c r="A22" s="2" t="n">
        <v>21</v>
      </c>
      <c r="B22" s="2" t="inlineStr">
        <is>
          <t>May 2023</t>
        </is>
      </c>
      <c r="C22" s="2" t="n">
        <v>1021</v>
      </c>
      <c r="D22" s="2" t="inlineStr">
        <is>
          <t>Salaried</t>
        </is>
      </c>
      <c r="E22" s="2" t="inlineStr">
        <is>
          <t>North</t>
        </is>
      </c>
      <c r="F22" s="2" t="inlineStr">
        <is>
          <t>Personal Loan</t>
        </is>
      </c>
      <c r="G22" s="2" t="n">
        <v>28</v>
      </c>
      <c r="H22" s="2" t="n">
        <v>40000</v>
      </c>
      <c r="I22" s="2" t="n">
        <v>480000</v>
      </c>
      <c r="J22" s="2" t="n">
        <v>24</v>
      </c>
      <c r="K22" s="2" t="n">
        <v>29.7</v>
      </c>
      <c r="L22" s="2" t="n">
        <v>728</v>
      </c>
      <c r="M22" s="2" t="n">
        <v>0</v>
      </c>
      <c r="N22" s="2" t="n">
        <v>0</v>
      </c>
      <c r="O22" s="2" t="n">
        <v>0</v>
      </c>
      <c r="P22" s="2" t="n">
        <v>480000</v>
      </c>
    </row>
    <row r="23">
      <c r="A23" s="2" t="n">
        <v>22</v>
      </c>
      <c r="B23" s="2" t="inlineStr">
        <is>
          <t>May 2023</t>
        </is>
      </c>
      <c r="C23" s="2" t="n">
        <v>1022</v>
      </c>
      <c r="D23" s="2" t="inlineStr">
        <is>
          <t>Self-Employed</t>
        </is>
      </c>
      <c r="E23" s="2" t="inlineStr">
        <is>
          <t>South</t>
        </is>
      </c>
      <c r="F23" s="2" t="inlineStr">
        <is>
          <t>Two-Wheeler Loan</t>
        </is>
      </c>
      <c r="G23" s="2" t="n">
        <v>33</v>
      </c>
      <c r="H23" s="2" t="n">
        <v>47000</v>
      </c>
      <c r="I23" s="2" t="n">
        <v>570000</v>
      </c>
      <c r="J23" s="2" t="n">
        <v>36</v>
      </c>
      <c r="K23" s="2" t="n">
        <v>32.9</v>
      </c>
      <c r="L23" s="2" t="n">
        <v>720</v>
      </c>
      <c r="M23" s="2" t="n">
        <v>0</v>
      </c>
      <c r="N23" s="2" t="n">
        <v>0</v>
      </c>
      <c r="O23" s="2" t="n">
        <v>0</v>
      </c>
      <c r="P23" s="2" t="n">
        <v>570000</v>
      </c>
    </row>
    <row r="24">
      <c r="A24" s="2" t="n">
        <v>23</v>
      </c>
      <c r="B24" s="2" t="inlineStr">
        <is>
          <t>May 2023</t>
        </is>
      </c>
      <c r="C24" s="2" t="n">
        <v>1023</v>
      </c>
      <c r="D24" s="2" t="inlineStr">
        <is>
          <t>Salaried</t>
        </is>
      </c>
      <c r="E24" s="2" t="inlineStr">
        <is>
          <t>West</t>
        </is>
      </c>
      <c r="F24" s="2" t="inlineStr">
        <is>
          <t>Consumer Durable Loan</t>
        </is>
      </c>
      <c r="G24" s="2" t="n">
        <v>38</v>
      </c>
      <c r="H24" s="2" t="n">
        <v>54000</v>
      </c>
      <c r="I24" s="2" t="n">
        <v>660000</v>
      </c>
      <c r="J24" s="2" t="n">
        <v>48</v>
      </c>
      <c r="K24" s="2" t="n">
        <v>32.1</v>
      </c>
      <c r="L24" s="2" t="n">
        <v>711</v>
      </c>
      <c r="M24" s="2" t="n">
        <v>0</v>
      </c>
      <c r="N24" s="2" t="n">
        <v>0</v>
      </c>
      <c r="O24" s="2" t="n">
        <v>0</v>
      </c>
      <c r="P24" s="2" t="n">
        <v>660000</v>
      </c>
    </row>
    <row r="25">
      <c r="A25" s="2" t="n">
        <v>24</v>
      </c>
      <c r="B25" s="2" t="inlineStr">
        <is>
          <t>May 2023</t>
        </is>
      </c>
      <c r="C25" s="2" t="n">
        <v>1024</v>
      </c>
      <c r="D25" s="2" t="inlineStr">
        <is>
          <t>Business</t>
        </is>
      </c>
      <c r="E25" s="2" t="inlineStr">
        <is>
          <t>East</t>
        </is>
      </c>
      <c r="F25" s="2" t="inlineStr">
        <is>
          <t>Personal Loan</t>
        </is>
      </c>
      <c r="G25" s="2" t="n">
        <v>43</v>
      </c>
      <c r="H25" s="2" t="n">
        <v>61000</v>
      </c>
      <c r="I25" s="2" t="n">
        <v>300000</v>
      </c>
      <c r="J25" s="2" t="n">
        <v>60</v>
      </c>
      <c r="K25" s="2" t="n">
        <v>33.7</v>
      </c>
      <c r="L25" s="2" t="n">
        <v>723</v>
      </c>
      <c r="M25" s="2" t="n">
        <v>1</v>
      </c>
      <c r="N25" s="2" t="n">
        <v>0</v>
      </c>
      <c r="O25" s="2" t="n">
        <v>1</v>
      </c>
      <c r="P25" s="2" t="n">
        <v>300000</v>
      </c>
    </row>
    <row r="26">
      <c r="A26" s="2" t="n">
        <v>25</v>
      </c>
      <c r="B26" s="2" t="inlineStr">
        <is>
          <t>May 2023</t>
        </is>
      </c>
      <c r="C26" s="2" t="n">
        <v>1025</v>
      </c>
      <c r="D26" s="2" t="inlineStr">
        <is>
          <t>Salaried</t>
        </is>
      </c>
      <c r="E26" s="2" t="inlineStr">
        <is>
          <t>North</t>
        </is>
      </c>
      <c r="F26" s="2" t="inlineStr">
        <is>
          <t>Two-Wheeler Loan</t>
        </is>
      </c>
      <c r="G26" s="2" t="n">
        <v>48</v>
      </c>
      <c r="H26" s="2" t="n">
        <v>33000</v>
      </c>
      <c r="I26" s="2" t="n">
        <v>390000</v>
      </c>
      <c r="J26" s="2" t="n">
        <v>36</v>
      </c>
      <c r="K26" s="2" t="n">
        <v>30.7</v>
      </c>
      <c r="L26" s="2" t="n">
        <v>706</v>
      </c>
      <c r="M26" s="2" t="n">
        <v>1</v>
      </c>
      <c r="N26" s="2" t="n">
        <v>1</v>
      </c>
      <c r="O26" s="2" t="n">
        <v>1</v>
      </c>
      <c r="P26" s="2" t="n">
        <v>390000</v>
      </c>
    </row>
    <row r="27">
      <c r="A27" s="2" t="n">
        <v>26</v>
      </c>
      <c r="B27" s="2" t="inlineStr">
        <is>
          <t>June 2023</t>
        </is>
      </c>
      <c r="C27" s="2" t="n">
        <v>1026</v>
      </c>
      <c r="D27" s="2" t="inlineStr">
        <is>
          <t>Salaried</t>
        </is>
      </c>
      <c r="E27" s="2" t="inlineStr">
        <is>
          <t>South</t>
        </is>
      </c>
      <c r="F27" s="2" t="inlineStr">
        <is>
          <t>Personal Loan</t>
        </is>
      </c>
      <c r="G27" s="2" t="n">
        <v>29</v>
      </c>
      <c r="H27" s="2" t="n">
        <v>42500</v>
      </c>
      <c r="I27" s="2" t="n">
        <v>525000</v>
      </c>
      <c r="J27" s="2" t="n">
        <v>24</v>
      </c>
      <c r="K27" s="2" t="n">
        <v>32.1</v>
      </c>
      <c r="L27" s="2" t="n">
        <v>721</v>
      </c>
      <c r="M27" s="2" t="n">
        <v>0</v>
      </c>
      <c r="N27" s="2" t="n">
        <v>0</v>
      </c>
      <c r="O27" s="2" t="n">
        <v>0</v>
      </c>
      <c r="P27" s="2" t="n">
        <v>525000</v>
      </c>
    </row>
    <row r="28">
      <c r="A28" s="2" t="n">
        <v>27</v>
      </c>
      <c r="B28" s="2" t="inlineStr">
        <is>
          <t>June 2023</t>
        </is>
      </c>
      <c r="C28" s="2" t="n">
        <v>1027</v>
      </c>
      <c r="D28" s="2" t="inlineStr">
        <is>
          <t>Self-Employed</t>
        </is>
      </c>
      <c r="E28" s="2" t="inlineStr">
        <is>
          <t>West</t>
        </is>
      </c>
      <c r="F28" s="2" t="inlineStr">
        <is>
          <t>Two-Wheeler Loan</t>
        </is>
      </c>
      <c r="G28" s="2" t="n">
        <v>34</v>
      </c>
      <c r="H28" s="2" t="n">
        <v>49500</v>
      </c>
      <c r="I28" s="2" t="n">
        <v>615000</v>
      </c>
      <c r="J28" s="2" t="n">
        <v>36</v>
      </c>
      <c r="K28" s="2" t="n">
        <v>35.3</v>
      </c>
      <c r="L28" s="2" t="n">
        <v>713</v>
      </c>
      <c r="M28" s="2" t="n">
        <v>0</v>
      </c>
      <c r="N28" s="2" t="n">
        <v>0</v>
      </c>
      <c r="O28" s="2" t="n">
        <v>0</v>
      </c>
      <c r="P28" s="2" t="n">
        <v>615000</v>
      </c>
    </row>
    <row r="29">
      <c r="A29" s="2" t="n">
        <v>28</v>
      </c>
      <c r="B29" s="2" t="inlineStr">
        <is>
          <t>June 2023</t>
        </is>
      </c>
      <c r="C29" s="2" t="n">
        <v>1028</v>
      </c>
      <c r="D29" s="2" t="inlineStr">
        <is>
          <t>Salaried</t>
        </is>
      </c>
      <c r="E29" s="2" t="inlineStr">
        <is>
          <t>East</t>
        </is>
      </c>
      <c r="F29" s="2" t="inlineStr">
        <is>
          <t>Consumer Durable Loan</t>
        </is>
      </c>
      <c r="G29" s="2" t="n">
        <v>39</v>
      </c>
      <c r="H29" s="2" t="n">
        <v>56500</v>
      </c>
      <c r="I29" s="2" t="n">
        <v>705000</v>
      </c>
      <c r="J29" s="2" t="n">
        <v>48</v>
      </c>
      <c r="K29" s="2" t="n">
        <v>34.5</v>
      </c>
      <c r="L29" s="2" t="n">
        <v>704</v>
      </c>
      <c r="M29" s="2" t="n">
        <v>0</v>
      </c>
      <c r="N29" s="2" t="n">
        <v>0</v>
      </c>
      <c r="O29" s="2" t="n">
        <v>0</v>
      </c>
      <c r="P29" s="2" t="n">
        <v>705000</v>
      </c>
    </row>
    <row r="30">
      <c r="A30" s="2" t="n">
        <v>29</v>
      </c>
      <c r="B30" s="2" t="inlineStr">
        <is>
          <t>June 2023</t>
        </is>
      </c>
      <c r="C30" s="2" t="n">
        <v>1029</v>
      </c>
      <c r="D30" s="2" t="inlineStr">
        <is>
          <t>Business</t>
        </is>
      </c>
      <c r="E30" s="2" t="inlineStr">
        <is>
          <t>North</t>
        </is>
      </c>
      <c r="F30" s="2" t="inlineStr">
        <is>
          <t>Personal Loan</t>
        </is>
      </c>
      <c r="G30" s="2" t="n">
        <v>44</v>
      </c>
      <c r="H30" s="2" t="n">
        <v>63500</v>
      </c>
      <c r="I30" s="2" t="n">
        <v>345000</v>
      </c>
      <c r="J30" s="2" t="n">
        <v>60</v>
      </c>
      <c r="K30" s="2" t="n">
        <v>36.1</v>
      </c>
      <c r="L30" s="2" t="n">
        <v>716</v>
      </c>
      <c r="M30" s="2" t="n">
        <v>1</v>
      </c>
      <c r="N30" s="2" t="n">
        <v>1</v>
      </c>
      <c r="O30" s="2" t="n">
        <v>1</v>
      </c>
      <c r="P30" s="2" t="n">
        <v>345000</v>
      </c>
    </row>
    <row r="31">
      <c r="A31" s="2" t="n">
        <v>30</v>
      </c>
      <c r="B31" s="2" t="inlineStr">
        <is>
          <t>June 2023</t>
        </is>
      </c>
      <c r="C31" s="2" t="n">
        <v>1030</v>
      </c>
      <c r="D31" s="2" t="inlineStr">
        <is>
          <t>Salaried</t>
        </is>
      </c>
      <c r="E31" s="2" t="inlineStr">
        <is>
          <t>South</t>
        </is>
      </c>
      <c r="F31" s="2" t="inlineStr">
        <is>
          <t>Two-Wheeler Loan</t>
        </is>
      </c>
      <c r="G31" s="2" t="n">
        <v>24</v>
      </c>
      <c r="H31" s="2" t="n">
        <v>35500</v>
      </c>
      <c r="I31" s="2" t="n">
        <v>435000</v>
      </c>
      <c r="J31" s="2" t="n">
        <v>36</v>
      </c>
      <c r="K31" s="2" t="n">
        <v>33.1</v>
      </c>
      <c r="L31" s="2" t="n">
        <v>699</v>
      </c>
      <c r="M31" s="2" t="n">
        <v>1</v>
      </c>
      <c r="N31" s="2" t="n">
        <v>1</v>
      </c>
      <c r="O31" s="2" t="n">
        <v>1</v>
      </c>
      <c r="P31" s="2" t="n">
        <v>435000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22" customWidth="1" min="4" max="4"/>
    <col width="13" customWidth="1" min="5" max="5"/>
    <col width="12" customWidth="1" min="6" max="6"/>
    <col width="12" customWidth="1" min="7" max="7"/>
    <col width="16" customWidth="1" min="8" max="8"/>
    <col width="19" customWidth="1" min="9" max="9"/>
    <col width="19" customWidth="1" min="10" max="10"/>
    <col width="24" customWidth="1" min="11" max="11"/>
  </cols>
  <sheetData>
    <row r="1">
      <c r="A1" s="1" t="inlineStr">
        <is>
          <t>Month</t>
        </is>
      </c>
      <c r="B1" s="1" t="inlineStr">
        <is>
          <t>Customers</t>
        </is>
      </c>
      <c r="C1" s="1" t="inlineStr">
        <is>
          <t>Loan Exposure</t>
        </is>
      </c>
      <c r="D1" s="1" t="inlineStr">
        <is>
          <t>Average Credit Score</t>
        </is>
      </c>
      <c r="E1" s="1" t="inlineStr">
        <is>
          <t>Average DTI</t>
        </is>
      </c>
      <c r="F1" s="1" t="inlineStr">
        <is>
          <t>Defaults</t>
        </is>
      </c>
      <c r="G1" s="1" t="inlineStr">
        <is>
          <t>High Risk</t>
        </is>
      </c>
      <c r="H1" s="1" t="inlineStr">
        <is>
          <t>Default Rate %</t>
        </is>
      </c>
      <c r="I1" s="1" t="inlineStr">
        <is>
          <t>High-Risk Share %</t>
        </is>
      </c>
      <c r="J1" s="1" t="inlineStr">
        <is>
          <t>Exposure Growth %</t>
        </is>
      </c>
      <c r="K1" s="1" t="inlineStr">
        <is>
          <t>Default Rate Change pp</t>
        </is>
      </c>
    </row>
    <row r="2">
      <c r="A2" s="2" t="inlineStr">
        <is>
          <t>January 2023</t>
        </is>
      </c>
      <c r="B2" s="2" t="n">
        <v>5</v>
      </c>
      <c r="C2" s="3" t="n">
        <v>1850000</v>
      </c>
      <c r="D2" s="2" t="n">
        <v>715</v>
      </c>
      <c r="E2" s="2" t="n">
        <v>31.2</v>
      </c>
      <c r="F2" s="2" t="n">
        <v>1</v>
      </c>
      <c r="G2" s="2" t="n">
        <v>1</v>
      </c>
      <c r="H2" s="4">
        <f>F2/B2*100</f>
        <v/>
      </c>
      <c r="I2" s="4">
        <f>G2/B2*100</f>
        <v/>
      </c>
      <c r="J2" s="4" t="inlineStr"/>
      <c r="K2" s="4" t="inlineStr"/>
    </row>
    <row r="3">
      <c r="A3" s="2" t="inlineStr">
        <is>
          <t>February 2023</t>
        </is>
      </c>
      <c r="B3" s="2" t="n">
        <v>5</v>
      </c>
      <c r="C3" s="3" t="n">
        <v>2050000</v>
      </c>
      <c r="D3" s="2" t="n">
        <v>718</v>
      </c>
      <c r="E3" s="2" t="n">
        <v>30.8</v>
      </c>
      <c r="F3" s="2" t="n">
        <v>1</v>
      </c>
      <c r="G3" s="2" t="n">
        <v>1</v>
      </c>
      <c r="H3" s="4">
        <f>F3/B3*100</f>
        <v/>
      </c>
      <c r="I3" s="4">
        <f>G3/B3*100</f>
        <v/>
      </c>
      <c r="J3" s="4">
        <f>(C3/C2-1)*100</f>
        <v/>
      </c>
      <c r="K3" s="4">
        <f>H3-H2</f>
        <v/>
      </c>
    </row>
    <row r="4">
      <c r="A4" s="2" t="inlineStr">
        <is>
          <t>March 2023</t>
        </is>
      </c>
      <c r="B4" s="2" t="n">
        <v>5</v>
      </c>
      <c r="C4" s="3" t="n">
        <v>2250000</v>
      </c>
      <c r="D4" s="2" t="n">
        <v>712</v>
      </c>
      <c r="E4" s="2" t="n">
        <v>32.4</v>
      </c>
      <c r="F4" s="2" t="n">
        <v>1</v>
      </c>
      <c r="G4" s="2" t="n">
        <v>2</v>
      </c>
      <c r="H4" s="4">
        <f>F4/B4*100</f>
        <v/>
      </c>
      <c r="I4" s="4">
        <f>G4/B4*100</f>
        <v/>
      </c>
      <c r="J4" s="4">
        <f>(C4/C3-1)*100</f>
        <v/>
      </c>
      <c r="K4" s="4">
        <f>H4-H3</f>
        <v/>
      </c>
    </row>
    <row r="5">
      <c r="A5" s="2" t="inlineStr">
        <is>
          <t>April 2023</t>
        </is>
      </c>
      <c r="B5" s="2" t="n">
        <v>5</v>
      </c>
      <c r="C5" s="3" t="n">
        <v>2150000</v>
      </c>
      <c r="D5" s="2" t="n">
        <v>721</v>
      </c>
      <c r="E5" s="2" t="n">
        <v>29.9</v>
      </c>
      <c r="F5" s="2" t="n">
        <v>0</v>
      </c>
      <c r="G5" s="2" t="n">
        <v>1</v>
      </c>
      <c r="H5" s="4">
        <f>F5/B5*100</f>
        <v/>
      </c>
      <c r="I5" s="4">
        <f>G5/B5*100</f>
        <v/>
      </c>
      <c r="J5" s="4">
        <f>(C5/C4-1)*100</f>
        <v/>
      </c>
      <c r="K5" s="4">
        <f>H5-H4</f>
        <v/>
      </c>
    </row>
    <row r="6">
      <c r="A6" s="2" t="inlineStr">
        <is>
          <t>May 2023</t>
        </is>
      </c>
      <c r="B6" s="2" t="n">
        <v>5</v>
      </c>
      <c r="C6" s="3" t="n">
        <v>2450000</v>
      </c>
      <c r="D6" s="2" t="n">
        <v>716</v>
      </c>
      <c r="E6" s="2" t="n">
        <v>31.7</v>
      </c>
      <c r="F6" s="2" t="n">
        <v>1</v>
      </c>
      <c r="G6" s="2" t="n">
        <v>2</v>
      </c>
      <c r="H6" s="4">
        <f>F6/B6*100</f>
        <v/>
      </c>
      <c r="I6" s="4">
        <f>G6/B6*100</f>
        <v/>
      </c>
      <c r="J6" s="4">
        <f>(C6/C5-1)*100</f>
        <v/>
      </c>
      <c r="K6" s="4">
        <f>H6-H5</f>
        <v/>
      </c>
    </row>
    <row r="7">
      <c r="A7" s="2" t="inlineStr">
        <is>
          <t>June 2023</t>
        </is>
      </c>
      <c r="B7" s="2" t="n">
        <v>5</v>
      </c>
      <c r="C7" s="3" t="n">
        <v>2750000</v>
      </c>
      <c r="D7" s="2" t="n">
        <v>709</v>
      </c>
      <c r="E7" s="2" t="n">
        <v>34.1</v>
      </c>
      <c r="F7" s="2" t="n">
        <v>2</v>
      </c>
      <c r="G7" s="2" t="n">
        <v>2</v>
      </c>
      <c r="H7" s="4">
        <f>F7/B7*100</f>
        <v/>
      </c>
      <c r="I7" s="4">
        <f>G7/B7*100</f>
        <v/>
      </c>
      <c r="J7" s="4">
        <f>(C7/C6-1)*100</f>
        <v/>
      </c>
      <c r="K7" s="4">
        <f>H7-H6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2" customWidth="1" min="3" max="3"/>
    <col width="12" customWidth="1" min="4" max="4"/>
    <col width="18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Month</t>
        </is>
      </c>
      <c r="B1" s="1" t="inlineStr">
        <is>
          <t>Loan_Product</t>
        </is>
      </c>
      <c r="C1" s="1" t="inlineStr">
        <is>
          <t>Customers</t>
        </is>
      </c>
      <c r="D1" s="1" t="inlineStr">
        <is>
          <t>Exposure</t>
        </is>
      </c>
      <c r="E1" s="1" t="inlineStr">
        <is>
          <t>Avg Credit Score</t>
        </is>
      </c>
      <c r="F1" s="1" t="inlineStr">
        <is>
          <t>Defaults</t>
        </is>
      </c>
      <c r="G1" s="1" t="inlineStr">
        <is>
          <t>High Risk</t>
        </is>
      </c>
      <c r="H1" s="1" t="inlineStr">
        <is>
          <t>Default Rate %</t>
        </is>
      </c>
    </row>
    <row r="2">
      <c r="A2" s="2" t="inlineStr">
        <is>
          <t>January 2023</t>
        </is>
      </c>
      <c r="B2" s="2" t="inlineStr">
        <is>
          <t>Personal Loan</t>
        </is>
      </c>
      <c r="C2" s="2" t="n">
        <v>2</v>
      </c>
      <c r="D2" s="2" t="n">
        <v>870000</v>
      </c>
      <c r="E2" s="2" t="n">
        <v>724.5</v>
      </c>
      <c r="F2" s="2" t="n">
        <v>0</v>
      </c>
      <c r="G2" s="2" t="n">
        <v>0</v>
      </c>
      <c r="H2" s="2" t="n">
        <v>0</v>
      </c>
    </row>
    <row r="3">
      <c r="A3" s="2" t="inlineStr">
        <is>
          <t>January 2023</t>
        </is>
      </c>
      <c r="B3" s="2" t="inlineStr">
        <is>
          <t>Two-Wheeler Loan</t>
        </is>
      </c>
      <c r="C3" s="2" t="n">
        <v>2</v>
      </c>
      <c r="D3" s="2" t="n">
        <v>1050000</v>
      </c>
      <c r="E3" s="2" t="n">
        <v>712</v>
      </c>
      <c r="F3" s="2" t="n">
        <v>1</v>
      </c>
      <c r="G3" s="2" t="n">
        <v>1</v>
      </c>
      <c r="H3" s="2" t="n">
        <v>50</v>
      </c>
    </row>
    <row r="4">
      <c r="A4" s="2" t="inlineStr">
        <is>
          <t>January 2023</t>
        </is>
      </c>
      <c r="B4" s="2" t="inlineStr">
        <is>
          <t>Consumer Durable Loan</t>
        </is>
      </c>
      <c r="C4" s="2" t="n">
        <v>1</v>
      </c>
      <c r="D4" s="2" t="n">
        <v>480000</v>
      </c>
      <c r="E4" s="2" t="n">
        <v>710</v>
      </c>
      <c r="F4" s="2" t="n">
        <v>0</v>
      </c>
      <c r="G4" s="2" t="n">
        <v>0</v>
      </c>
      <c r="H4" s="2" t="n">
        <v>0</v>
      </c>
    </row>
    <row r="5">
      <c r="A5" s="2" t="inlineStr">
        <is>
          <t>February 2023</t>
        </is>
      </c>
      <c r="B5" s="2" t="inlineStr">
        <is>
          <t>Personal Loan</t>
        </is>
      </c>
      <c r="C5" s="2" t="n">
        <v>2</v>
      </c>
      <c r="D5" s="2" t="n">
        <v>960000</v>
      </c>
      <c r="E5" s="2" t="n">
        <v>727.5</v>
      </c>
      <c r="F5" s="2" t="n">
        <v>0</v>
      </c>
      <c r="G5" s="2" t="n">
        <v>0</v>
      </c>
      <c r="H5" s="2" t="n">
        <v>0</v>
      </c>
    </row>
    <row r="6">
      <c r="A6" s="2" t="inlineStr">
        <is>
          <t>February 2023</t>
        </is>
      </c>
      <c r="B6" s="2" t="inlineStr">
        <is>
          <t>Two-Wheeler Loan</t>
        </is>
      </c>
      <c r="C6" s="2" t="n">
        <v>2</v>
      </c>
      <c r="D6" s="2" t="n">
        <v>1140000</v>
      </c>
      <c r="E6" s="2" t="n">
        <v>715</v>
      </c>
      <c r="F6" s="2" t="n">
        <v>1</v>
      </c>
      <c r="G6" s="2" t="n">
        <v>1</v>
      </c>
      <c r="H6" s="2" t="n">
        <v>50</v>
      </c>
    </row>
    <row r="7">
      <c r="A7" s="2" t="inlineStr">
        <is>
          <t>February 2023</t>
        </is>
      </c>
      <c r="B7" s="2" t="inlineStr">
        <is>
          <t>Consumer Durable Loan</t>
        </is>
      </c>
      <c r="C7" s="2" t="n">
        <v>1</v>
      </c>
      <c r="D7" s="2" t="n">
        <v>525000</v>
      </c>
      <c r="E7" s="2" t="n">
        <v>713</v>
      </c>
      <c r="F7" s="2" t="n">
        <v>0</v>
      </c>
      <c r="G7" s="2" t="n">
        <v>0</v>
      </c>
      <c r="H7" s="2" t="n">
        <v>0</v>
      </c>
    </row>
    <row r="8">
      <c r="A8" s="2" t="inlineStr">
        <is>
          <t>March 2023</t>
        </is>
      </c>
      <c r="B8" s="2" t="inlineStr">
        <is>
          <t>Personal Loan</t>
        </is>
      </c>
      <c r="C8" s="2" t="n">
        <v>2</v>
      </c>
      <c r="D8" s="2" t="n">
        <v>1050000</v>
      </c>
      <c r="E8" s="2" t="n">
        <v>721.5</v>
      </c>
      <c r="F8" s="2" t="n">
        <v>0</v>
      </c>
      <c r="G8" s="2" t="n">
        <v>1</v>
      </c>
      <c r="H8" s="2" t="n">
        <v>0</v>
      </c>
    </row>
    <row r="9">
      <c r="A9" s="2" t="inlineStr">
        <is>
          <t>March 2023</t>
        </is>
      </c>
      <c r="B9" s="2" t="inlineStr">
        <is>
          <t>Two-Wheeler Loan</t>
        </is>
      </c>
      <c r="C9" s="2" t="n">
        <v>2</v>
      </c>
      <c r="D9" s="2" t="n">
        <v>780000</v>
      </c>
      <c r="E9" s="2" t="n">
        <v>709</v>
      </c>
      <c r="F9" s="2" t="n">
        <v>1</v>
      </c>
      <c r="G9" s="2" t="n">
        <v>1</v>
      </c>
      <c r="H9" s="2" t="n">
        <v>50</v>
      </c>
    </row>
    <row r="10">
      <c r="A10" s="2" t="inlineStr">
        <is>
          <t>March 2023</t>
        </is>
      </c>
      <c r="B10" s="2" t="inlineStr">
        <is>
          <t>Consumer Durable Loan</t>
        </is>
      </c>
      <c r="C10" s="2" t="n">
        <v>1</v>
      </c>
      <c r="D10" s="2" t="n">
        <v>570000</v>
      </c>
      <c r="E10" s="2" t="n">
        <v>707</v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April 2023</t>
        </is>
      </c>
      <c r="B11" s="2" t="inlineStr">
        <is>
          <t>Personal Loan</t>
        </is>
      </c>
      <c r="C11" s="2" t="n">
        <v>2</v>
      </c>
      <c r="D11" s="2" t="n">
        <v>1140000</v>
      </c>
      <c r="E11" s="2" t="n">
        <v>730.5</v>
      </c>
      <c r="F11" s="2" t="n">
        <v>0</v>
      </c>
      <c r="G11" s="2" t="n">
        <v>0</v>
      </c>
      <c r="H11" s="2" t="n">
        <v>0</v>
      </c>
    </row>
    <row r="12">
      <c r="A12" s="2" t="inlineStr">
        <is>
          <t>April 2023</t>
        </is>
      </c>
      <c r="B12" s="2" t="inlineStr">
        <is>
          <t>Two-Wheeler Loan</t>
        </is>
      </c>
      <c r="C12" s="2" t="n">
        <v>2</v>
      </c>
      <c r="D12" s="2" t="n">
        <v>870000</v>
      </c>
      <c r="E12" s="2" t="n">
        <v>718</v>
      </c>
      <c r="F12" s="2" t="n">
        <v>0</v>
      </c>
      <c r="G12" s="2" t="n">
        <v>1</v>
      </c>
      <c r="H12" s="2" t="n">
        <v>0</v>
      </c>
    </row>
    <row r="13">
      <c r="A13" s="2" t="inlineStr">
        <is>
          <t>April 2023</t>
        </is>
      </c>
      <c r="B13" s="2" t="inlineStr">
        <is>
          <t>Consumer Durable Loan</t>
        </is>
      </c>
      <c r="C13" s="2" t="n">
        <v>1</v>
      </c>
      <c r="D13" s="2" t="n">
        <v>615000</v>
      </c>
      <c r="E13" s="2" t="n">
        <v>716</v>
      </c>
      <c r="F13" s="2" t="n">
        <v>0</v>
      </c>
      <c r="G13" s="2" t="n">
        <v>0</v>
      </c>
      <c r="H13" s="2" t="n">
        <v>0</v>
      </c>
    </row>
    <row r="14">
      <c r="A14" s="2" t="inlineStr">
        <is>
          <t>May 2023</t>
        </is>
      </c>
      <c r="B14" s="2" t="inlineStr">
        <is>
          <t>Personal Loan</t>
        </is>
      </c>
      <c r="C14" s="2" t="n">
        <v>2</v>
      </c>
      <c r="D14" s="2" t="n">
        <v>780000</v>
      </c>
      <c r="E14" s="2" t="n">
        <v>725.5</v>
      </c>
      <c r="F14" s="2" t="n">
        <v>0</v>
      </c>
      <c r="G14" s="2" t="n">
        <v>1</v>
      </c>
      <c r="H14" s="2" t="n">
        <v>0</v>
      </c>
    </row>
    <row r="15">
      <c r="A15" s="2" t="inlineStr">
        <is>
          <t>May 2023</t>
        </is>
      </c>
      <c r="B15" s="2" t="inlineStr">
        <is>
          <t>Two-Wheeler Loan</t>
        </is>
      </c>
      <c r="C15" s="2" t="n">
        <v>2</v>
      </c>
      <c r="D15" s="2" t="n">
        <v>960000</v>
      </c>
      <c r="E15" s="2" t="n">
        <v>713</v>
      </c>
      <c r="F15" s="2" t="n">
        <v>1</v>
      </c>
      <c r="G15" s="2" t="n">
        <v>1</v>
      </c>
      <c r="H15" s="2" t="n">
        <v>50</v>
      </c>
    </row>
    <row r="16">
      <c r="A16" s="2" t="inlineStr">
        <is>
          <t>May 2023</t>
        </is>
      </c>
      <c r="B16" s="2" t="inlineStr">
        <is>
          <t>Consumer Durable Loan</t>
        </is>
      </c>
      <c r="C16" s="2" t="n">
        <v>1</v>
      </c>
      <c r="D16" s="2" t="n">
        <v>660000</v>
      </c>
      <c r="E16" s="2" t="n">
        <v>711</v>
      </c>
      <c r="F16" s="2" t="n">
        <v>0</v>
      </c>
      <c r="G16" s="2" t="n">
        <v>0</v>
      </c>
      <c r="H16" s="2" t="n">
        <v>0</v>
      </c>
    </row>
    <row r="17">
      <c r="A17" s="2" t="inlineStr">
        <is>
          <t>June 2023</t>
        </is>
      </c>
      <c r="B17" s="2" t="inlineStr">
        <is>
          <t>Personal Loan</t>
        </is>
      </c>
      <c r="C17" s="2" t="n">
        <v>2</v>
      </c>
      <c r="D17" s="2" t="n">
        <v>870000</v>
      </c>
      <c r="E17" s="2" t="n">
        <v>718.5</v>
      </c>
      <c r="F17" s="2" t="n">
        <v>1</v>
      </c>
      <c r="G17" s="2" t="n">
        <v>1</v>
      </c>
      <c r="H17" s="2" t="n">
        <v>50</v>
      </c>
    </row>
    <row r="18">
      <c r="A18" s="2" t="inlineStr">
        <is>
          <t>June 2023</t>
        </is>
      </c>
      <c r="B18" s="2" t="inlineStr">
        <is>
          <t>Two-Wheeler Loan</t>
        </is>
      </c>
      <c r="C18" s="2" t="n">
        <v>2</v>
      </c>
      <c r="D18" s="2" t="n">
        <v>1050000</v>
      </c>
      <c r="E18" s="2" t="n">
        <v>706</v>
      </c>
      <c r="F18" s="2" t="n">
        <v>1</v>
      </c>
      <c r="G18" s="2" t="n">
        <v>1</v>
      </c>
      <c r="H18" s="2" t="n">
        <v>50</v>
      </c>
    </row>
    <row r="19">
      <c r="A19" s="2" t="inlineStr">
        <is>
          <t>June 2023</t>
        </is>
      </c>
      <c r="B19" s="2" t="inlineStr">
        <is>
          <t>Consumer Durable Loan</t>
        </is>
      </c>
      <c r="C19" s="2" t="n">
        <v>1</v>
      </c>
      <c r="D19" s="2" t="n">
        <v>705000</v>
      </c>
      <c r="E19" s="2" t="n">
        <v>704</v>
      </c>
      <c r="F19" s="2" t="n">
        <v>0</v>
      </c>
      <c r="G19" s="2" t="n">
        <v>0</v>
      </c>
      <c r="H19" s="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8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Customers</t>
        </is>
      </c>
      <c r="D1" s="1" t="inlineStr">
        <is>
          <t>Exposure</t>
        </is>
      </c>
      <c r="E1" s="1" t="inlineStr">
        <is>
          <t>Avg Credit Score</t>
        </is>
      </c>
      <c r="F1" s="1" t="inlineStr">
        <is>
          <t>Defaults</t>
        </is>
      </c>
      <c r="G1" s="1" t="inlineStr">
        <is>
          <t>High Risk</t>
        </is>
      </c>
      <c r="H1" s="1" t="inlineStr">
        <is>
          <t>Default Rate %</t>
        </is>
      </c>
    </row>
    <row r="2">
      <c r="A2" s="2" t="inlineStr">
        <is>
          <t>January 2023</t>
        </is>
      </c>
      <c r="B2" s="2" t="inlineStr">
        <is>
          <t>North</t>
        </is>
      </c>
      <c r="C2" s="2" t="n">
        <v>2</v>
      </c>
      <c r="D2" s="2" t="n">
        <v>960000</v>
      </c>
      <c r="E2" s="2" t="n">
        <v>716</v>
      </c>
      <c r="F2" s="2" t="n">
        <v>1</v>
      </c>
      <c r="G2" s="2" t="n">
        <v>1</v>
      </c>
      <c r="H2" s="2" t="n">
        <v>50</v>
      </c>
    </row>
    <row r="3">
      <c r="A3" s="2" t="inlineStr">
        <is>
          <t>January 2023</t>
        </is>
      </c>
      <c r="B3" s="2" t="inlineStr">
        <is>
          <t>South</t>
        </is>
      </c>
      <c r="C3" s="2" t="n">
        <v>1</v>
      </c>
      <c r="D3" s="2" t="n">
        <v>390000</v>
      </c>
      <c r="E3" s="2" t="n">
        <v>719</v>
      </c>
      <c r="F3" s="2" t="n">
        <v>0</v>
      </c>
      <c r="G3" s="2" t="n">
        <v>0</v>
      </c>
      <c r="H3" s="2" t="n">
        <v>0</v>
      </c>
    </row>
    <row r="4">
      <c r="A4" s="2" t="inlineStr">
        <is>
          <t>January 2023</t>
        </is>
      </c>
      <c r="B4" s="2" t="inlineStr">
        <is>
          <t>West</t>
        </is>
      </c>
      <c r="C4" s="2" t="n">
        <v>1</v>
      </c>
      <c r="D4" s="2" t="n">
        <v>480000</v>
      </c>
      <c r="E4" s="2" t="n">
        <v>710</v>
      </c>
      <c r="F4" s="2" t="n">
        <v>0</v>
      </c>
      <c r="G4" s="2" t="n">
        <v>0</v>
      </c>
      <c r="H4" s="2" t="n">
        <v>0</v>
      </c>
    </row>
    <row r="5">
      <c r="A5" s="2" t="inlineStr">
        <is>
          <t>January 2023</t>
        </is>
      </c>
      <c r="B5" s="2" t="inlineStr">
        <is>
          <t>East</t>
        </is>
      </c>
      <c r="C5" s="2" t="n">
        <v>1</v>
      </c>
      <c r="D5" s="2" t="n">
        <v>570000</v>
      </c>
      <c r="E5" s="2" t="n">
        <v>722</v>
      </c>
      <c r="F5" s="2" t="n">
        <v>0</v>
      </c>
      <c r="G5" s="2" t="n">
        <v>0</v>
      </c>
      <c r="H5" s="2" t="n">
        <v>0</v>
      </c>
    </row>
    <row r="6">
      <c r="A6" s="2" t="inlineStr">
        <is>
          <t>February 2023</t>
        </is>
      </c>
      <c r="B6" s="2" t="inlineStr">
        <is>
          <t>North</t>
        </is>
      </c>
      <c r="C6" s="2" t="n">
        <v>1</v>
      </c>
      <c r="D6" s="2" t="n">
        <v>615000</v>
      </c>
      <c r="E6" s="2" t="n">
        <v>725</v>
      </c>
      <c r="F6" s="2" t="n">
        <v>0</v>
      </c>
      <c r="G6" s="2" t="n">
        <v>0</v>
      </c>
      <c r="H6" s="2" t="n">
        <v>0</v>
      </c>
    </row>
    <row r="7">
      <c r="A7" s="2" t="inlineStr">
        <is>
          <t>February 2023</t>
        </is>
      </c>
      <c r="B7" s="2" t="inlineStr">
        <is>
          <t>South</t>
        </is>
      </c>
      <c r="C7" s="2" t="n">
        <v>2</v>
      </c>
      <c r="D7" s="2" t="n">
        <v>1050000</v>
      </c>
      <c r="E7" s="2" t="n">
        <v>719</v>
      </c>
      <c r="F7" s="2" t="n">
        <v>1</v>
      </c>
      <c r="G7" s="2" t="n">
        <v>1</v>
      </c>
      <c r="H7" s="2" t="n">
        <v>50</v>
      </c>
    </row>
    <row r="8">
      <c r="A8" s="2" t="inlineStr">
        <is>
          <t>February 2023</t>
        </is>
      </c>
      <c r="B8" s="2" t="inlineStr">
        <is>
          <t>West</t>
        </is>
      </c>
      <c r="C8" s="2" t="n">
        <v>1</v>
      </c>
      <c r="D8" s="2" t="n">
        <v>435000</v>
      </c>
      <c r="E8" s="2" t="n">
        <v>722</v>
      </c>
      <c r="F8" s="2" t="n">
        <v>0</v>
      </c>
      <c r="G8" s="2" t="n">
        <v>0</v>
      </c>
      <c r="H8" s="2" t="n">
        <v>0</v>
      </c>
    </row>
    <row r="9">
      <c r="A9" s="2" t="inlineStr">
        <is>
          <t>February 2023</t>
        </is>
      </c>
      <c r="B9" s="2" t="inlineStr">
        <is>
          <t>East</t>
        </is>
      </c>
      <c r="C9" s="2" t="n">
        <v>1</v>
      </c>
      <c r="D9" s="2" t="n">
        <v>525000</v>
      </c>
      <c r="E9" s="2" t="n">
        <v>713</v>
      </c>
      <c r="F9" s="2" t="n">
        <v>0</v>
      </c>
      <c r="G9" s="2" t="n">
        <v>0</v>
      </c>
      <c r="H9" s="2" t="n">
        <v>0</v>
      </c>
    </row>
    <row r="10">
      <c r="A10" s="2" t="inlineStr">
        <is>
          <t>March 2023</t>
        </is>
      </c>
      <c r="B10" s="2" t="inlineStr">
        <is>
          <t>North</t>
        </is>
      </c>
      <c r="C10" s="2" t="n">
        <v>1</v>
      </c>
      <c r="D10" s="2" t="n">
        <v>570000</v>
      </c>
      <c r="E10" s="2" t="n">
        <v>707</v>
      </c>
      <c r="F10" s="2" t="n">
        <v>0</v>
      </c>
      <c r="G10" s="2" t="n">
        <v>0</v>
      </c>
      <c r="H10" s="2" t="n">
        <v>0</v>
      </c>
    </row>
    <row r="11">
      <c r="A11" s="2" t="inlineStr">
        <is>
          <t>March 2023</t>
        </is>
      </c>
      <c r="B11" s="2" t="inlineStr">
        <is>
          <t>South</t>
        </is>
      </c>
      <c r="C11" s="2" t="n">
        <v>1</v>
      </c>
      <c r="D11" s="2" t="n">
        <v>660000</v>
      </c>
      <c r="E11" s="2" t="n">
        <v>719</v>
      </c>
      <c r="F11" s="2" t="n">
        <v>0</v>
      </c>
      <c r="G11" s="2" t="n">
        <v>1</v>
      </c>
      <c r="H11" s="2" t="n">
        <v>0</v>
      </c>
    </row>
    <row r="12">
      <c r="A12" s="2" t="inlineStr">
        <is>
          <t>March 2023</t>
        </is>
      </c>
      <c r="B12" s="2" t="inlineStr">
        <is>
          <t>West</t>
        </is>
      </c>
      <c r="C12" s="2" t="n">
        <v>2</v>
      </c>
      <c r="D12" s="2" t="n">
        <v>690000</v>
      </c>
      <c r="E12" s="2" t="n">
        <v>713</v>
      </c>
      <c r="F12" s="2" t="n">
        <v>1</v>
      </c>
      <c r="G12" s="2" t="n">
        <v>1</v>
      </c>
      <c r="H12" s="2" t="n">
        <v>50</v>
      </c>
    </row>
    <row r="13">
      <c r="A13" s="2" t="inlineStr">
        <is>
          <t>March 2023</t>
        </is>
      </c>
      <c r="B13" s="2" t="inlineStr">
        <is>
          <t>East</t>
        </is>
      </c>
      <c r="C13" s="2" t="n">
        <v>1</v>
      </c>
      <c r="D13" s="2" t="n">
        <v>480000</v>
      </c>
      <c r="E13" s="2" t="n">
        <v>716</v>
      </c>
      <c r="F13" s="2" t="n">
        <v>0</v>
      </c>
      <c r="G13" s="2" t="n">
        <v>0</v>
      </c>
      <c r="H13" s="2" t="n">
        <v>0</v>
      </c>
    </row>
    <row r="14">
      <c r="A14" s="2" t="inlineStr">
        <is>
          <t>April 2023</t>
        </is>
      </c>
      <c r="B14" s="2" t="inlineStr">
        <is>
          <t>North</t>
        </is>
      </c>
      <c r="C14" s="2" t="n">
        <v>1</v>
      </c>
      <c r="D14" s="2" t="n">
        <v>525000</v>
      </c>
      <c r="E14" s="2" t="n">
        <v>725</v>
      </c>
      <c r="F14" s="2" t="n">
        <v>0</v>
      </c>
      <c r="G14" s="2" t="n">
        <v>0</v>
      </c>
      <c r="H14" s="2" t="n">
        <v>0</v>
      </c>
    </row>
    <row r="15">
      <c r="A15" s="2" t="inlineStr">
        <is>
          <t>April 2023</t>
        </is>
      </c>
      <c r="B15" s="2" t="inlineStr">
        <is>
          <t>South</t>
        </is>
      </c>
      <c r="C15" s="2" t="n">
        <v>1</v>
      </c>
      <c r="D15" s="2" t="n">
        <v>615000</v>
      </c>
      <c r="E15" s="2" t="n">
        <v>716</v>
      </c>
      <c r="F15" s="2" t="n">
        <v>0</v>
      </c>
      <c r="G15" s="2" t="n">
        <v>0</v>
      </c>
      <c r="H15" s="2" t="n">
        <v>0</v>
      </c>
    </row>
    <row r="16">
      <c r="A16" s="2" t="inlineStr">
        <is>
          <t>April 2023</t>
        </is>
      </c>
      <c r="B16" s="2" t="inlineStr">
        <is>
          <t>West</t>
        </is>
      </c>
      <c r="C16" s="2" t="n">
        <v>1</v>
      </c>
      <c r="D16" s="2" t="n">
        <v>705000</v>
      </c>
      <c r="E16" s="2" t="n">
        <v>728</v>
      </c>
      <c r="F16" s="2" t="n">
        <v>0</v>
      </c>
      <c r="G16" s="2" t="n">
        <v>0</v>
      </c>
      <c r="H16" s="2" t="n">
        <v>0</v>
      </c>
    </row>
    <row r="17">
      <c r="A17" s="2" t="inlineStr">
        <is>
          <t>April 2023</t>
        </is>
      </c>
      <c r="B17" s="2" t="inlineStr">
        <is>
          <t>East</t>
        </is>
      </c>
      <c r="C17" s="2" t="n">
        <v>2</v>
      </c>
      <c r="D17" s="2" t="n">
        <v>780000</v>
      </c>
      <c r="E17" s="2" t="n">
        <v>722</v>
      </c>
      <c r="F17" s="2" t="n">
        <v>0</v>
      </c>
      <c r="G17" s="2" t="n">
        <v>1</v>
      </c>
      <c r="H17" s="2" t="n">
        <v>0</v>
      </c>
    </row>
    <row r="18">
      <c r="A18" s="2" t="inlineStr">
        <is>
          <t>May 2023</t>
        </is>
      </c>
      <c r="B18" s="2" t="inlineStr">
        <is>
          <t>North</t>
        </is>
      </c>
      <c r="C18" s="2" t="n">
        <v>2</v>
      </c>
      <c r="D18" s="2" t="n">
        <v>870000</v>
      </c>
      <c r="E18" s="2" t="n">
        <v>717</v>
      </c>
      <c r="F18" s="2" t="n">
        <v>1</v>
      </c>
      <c r="G18" s="2" t="n">
        <v>1</v>
      </c>
      <c r="H18" s="2" t="n">
        <v>50</v>
      </c>
    </row>
    <row r="19">
      <c r="A19" s="2" t="inlineStr">
        <is>
          <t>May 2023</t>
        </is>
      </c>
      <c r="B19" s="2" t="inlineStr">
        <is>
          <t>South</t>
        </is>
      </c>
      <c r="C19" s="2" t="n">
        <v>1</v>
      </c>
      <c r="D19" s="2" t="n">
        <v>570000</v>
      </c>
      <c r="E19" s="2" t="n">
        <v>720</v>
      </c>
      <c r="F19" s="2" t="n">
        <v>0</v>
      </c>
      <c r="G19" s="2" t="n">
        <v>0</v>
      </c>
      <c r="H19" s="2" t="n">
        <v>0</v>
      </c>
    </row>
    <row r="20">
      <c r="A20" s="2" t="inlineStr">
        <is>
          <t>May 2023</t>
        </is>
      </c>
      <c r="B20" s="2" t="inlineStr">
        <is>
          <t>West</t>
        </is>
      </c>
      <c r="C20" s="2" t="n">
        <v>1</v>
      </c>
      <c r="D20" s="2" t="n">
        <v>660000</v>
      </c>
      <c r="E20" s="2" t="n">
        <v>711</v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May 2023</t>
        </is>
      </c>
      <c r="B21" s="2" t="inlineStr">
        <is>
          <t>East</t>
        </is>
      </c>
      <c r="C21" s="2" t="n">
        <v>1</v>
      </c>
      <c r="D21" s="2" t="n">
        <v>300000</v>
      </c>
      <c r="E21" s="2" t="n">
        <v>723</v>
      </c>
      <c r="F21" s="2" t="n">
        <v>0</v>
      </c>
      <c r="G21" s="2" t="n">
        <v>1</v>
      </c>
      <c r="H21" s="2" t="n">
        <v>0</v>
      </c>
    </row>
    <row r="22">
      <c r="A22" s="2" t="inlineStr">
        <is>
          <t>June 2023</t>
        </is>
      </c>
      <c r="B22" s="2" t="inlineStr">
        <is>
          <t>North</t>
        </is>
      </c>
      <c r="C22" s="2" t="n">
        <v>1</v>
      </c>
      <c r="D22" s="2" t="n">
        <v>345000</v>
      </c>
      <c r="E22" s="2" t="n">
        <v>716</v>
      </c>
      <c r="F22" s="2" t="n">
        <v>1</v>
      </c>
      <c r="G22" s="2" t="n">
        <v>1</v>
      </c>
      <c r="H22" s="2" t="n">
        <v>100</v>
      </c>
    </row>
    <row r="23">
      <c r="A23" s="2" t="inlineStr">
        <is>
          <t>June 2023</t>
        </is>
      </c>
      <c r="B23" s="2" t="inlineStr">
        <is>
          <t>South</t>
        </is>
      </c>
      <c r="C23" s="2" t="n">
        <v>2</v>
      </c>
      <c r="D23" s="2" t="n">
        <v>960000</v>
      </c>
      <c r="E23" s="2" t="n">
        <v>710</v>
      </c>
      <c r="F23" s="2" t="n">
        <v>1</v>
      </c>
      <c r="G23" s="2" t="n">
        <v>1</v>
      </c>
      <c r="H23" s="2" t="n">
        <v>50</v>
      </c>
    </row>
    <row r="24">
      <c r="A24" s="2" t="inlineStr">
        <is>
          <t>June 2023</t>
        </is>
      </c>
      <c r="B24" s="2" t="inlineStr">
        <is>
          <t>West</t>
        </is>
      </c>
      <c r="C24" s="2" t="n">
        <v>1</v>
      </c>
      <c r="D24" s="2" t="n">
        <v>615000</v>
      </c>
      <c r="E24" s="2" t="n">
        <v>713</v>
      </c>
      <c r="F24" s="2" t="n">
        <v>0</v>
      </c>
      <c r="G24" s="2" t="n">
        <v>0</v>
      </c>
      <c r="H24" s="2" t="n">
        <v>0</v>
      </c>
    </row>
    <row r="25">
      <c r="A25" s="2" t="inlineStr">
        <is>
          <t>June 2023</t>
        </is>
      </c>
      <c r="B25" s="2" t="inlineStr">
        <is>
          <t>East</t>
        </is>
      </c>
      <c r="C25" s="2" t="n">
        <v>1</v>
      </c>
      <c r="D25" s="2" t="n">
        <v>705000</v>
      </c>
      <c r="E25" s="2" t="n">
        <v>704</v>
      </c>
      <c r="F25" s="2" t="n">
        <v>0</v>
      </c>
      <c r="G25" s="2" t="n">
        <v>0</v>
      </c>
      <c r="H25" s="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1" customWidth="1" min="2" max="2"/>
    <col width="35" customWidth="1" min="3" max="3"/>
  </cols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Total Customers</t>
        </is>
      </c>
      <c r="B2" s="2">
        <f>SUM(Monthly_Trend!B2:B7)</f>
        <v/>
      </c>
      <c r="C2" s="2" t="inlineStr">
        <is>
          <t>Customer records across the period</t>
        </is>
      </c>
    </row>
    <row r="3">
      <c r="A3" s="2" t="inlineStr">
        <is>
          <t>Total Loan Exposure</t>
        </is>
      </c>
      <c r="B3" s="2">
        <f>SUM(Monthly_Trend!C2:C7)</f>
        <v/>
      </c>
      <c r="C3" s="2" t="inlineStr">
        <is>
          <t>Total simulated loan exposure</t>
        </is>
      </c>
    </row>
    <row r="4">
      <c r="A4" s="2" t="inlineStr">
        <is>
          <t>Average Credit Score</t>
        </is>
      </c>
      <c r="B4" s="2">
        <f>AVERAGE(Monthly_Trend!D2:D7)</f>
        <v/>
      </c>
      <c r="C4" s="2" t="inlineStr">
        <is>
          <t>Average monthly credit score</t>
        </is>
      </c>
    </row>
    <row r="5">
      <c r="A5" s="2" t="inlineStr">
        <is>
          <t>Average DTI</t>
        </is>
      </c>
      <c r="B5" s="2">
        <f>AVERAGE(Monthly_Trend!E2:E7)</f>
        <v/>
      </c>
      <c r="C5" s="2" t="inlineStr">
        <is>
          <t>Average monthly DTI</t>
        </is>
      </c>
    </row>
    <row r="6">
      <c r="A6" s="2" t="inlineStr">
        <is>
          <t>Total Defaults</t>
        </is>
      </c>
      <c r="B6" s="2">
        <f>SUM(Monthly_Trend!F2:F7)</f>
        <v/>
      </c>
      <c r="C6" s="2" t="inlineStr">
        <is>
          <t>Total default cases</t>
        </is>
      </c>
    </row>
    <row r="7">
      <c r="A7" s="2" t="inlineStr">
        <is>
          <t>Average Default Rate %</t>
        </is>
      </c>
      <c r="B7" s="2">
        <f>AVERAGE(Monthly_Trend!H2:H7)</f>
        <v/>
      </c>
      <c r="C7" s="2" t="inlineStr">
        <is>
          <t>Average monthly default rate</t>
        </is>
      </c>
    </row>
    <row r="8">
      <c r="A8" s="2" t="inlineStr">
        <is>
          <t>Total High-Risk Customers</t>
        </is>
      </c>
      <c r="B8" s="2">
        <f>SUM(Monthly_Trend!G2:G7)</f>
        <v/>
      </c>
      <c r="C8" s="2" t="inlineStr">
        <is>
          <t>Total high-risk customer observations</t>
        </is>
      </c>
    </row>
    <row r="9">
      <c r="A9" s="2" t="inlineStr">
        <is>
          <t>Average High-Risk Share %</t>
        </is>
      </c>
      <c r="B9" s="2">
        <f>AVERAGE(Monthly_Trend!I2:I7)</f>
        <v/>
      </c>
      <c r="C9" s="2" t="inlineStr">
        <is>
          <t>Average monthly high-risk share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2" customWidth="1" min="3" max="3"/>
  </cols>
  <sheetData>
    <row r="1">
      <c r="A1" s="1" t="inlineStr">
        <is>
          <t>Observation Area</t>
        </is>
      </c>
      <c r="B1" s="1" t="inlineStr">
        <is>
          <t>Data-Based Observation</t>
        </is>
      </c>
      <c r="C1" s="1" t="inlineStr">
        <is>
          <t>Evidence / KPI</t>
        </is>
      </c>
    </row>
    <row r="2">
      <c r="A2" s="2" t="inlineStr">
        <is>
          <t>Exposure</t>
        </is>
      </c>
      <c r="B2" s="2" t="inlineStr">
        <is>
          <t>Loan exposure changes across the six-month period.</t>
        </is>
      </c>
      <c r="C2" s="2" t="inlineStr">
        <is>
          <t>Monthly_Trend</t>
        </is>
      </c>
    </row>
    <row r="3">
      <c r="A3" s="2" t="inlineStr">
        <is>
          <t>Default Rate</t>
        </is>
      </c>
      <c r="B3" s="2" t="inlineStr">
        <is>
          <t>Default rate should be reviewed month by month rather than count alone.</t>
        </is>
      </c>
      <c r="C3" s="2" t="inlineStr">
        <is>
          <t>Default Rate %</t>
        </is>
      </c>
    </row>
    <row r="4">
      <c r="A4" s="2" t="inlineStr">
        <is>
          <t>Credit Score</t>
        </is>
      </c>
      <c r="B4" s="2" t="inlineStr">
        <is>
          <t>Average credit score changes across the period.</t>
        </is>
      </c>
      <c r="C4" s="2" t="inlineStr">
        <is>
          <t>Average Credit Score</t>
        </is>
      </c>
    </row>
    <row r="5">
      <c r="A5" s="2" t="inlineStr">
        <is>
          <t>High Risk</t>
        </is>
      </c>
      <c r="B5" s="2" t="inlineStr">
        <is>
          <t>High-risk share provides portfolio-composition context.</t>
        </is>
      </c>
      <c r="C5" s="2" t="inlineStr">
        <is>
          <t>High-Risk Share %</t>
        </is>
      </c>
    </row>
    <row r="6">
      <c r="A6" s="2" t="inlineStr">
        <is>
          <t>Product</t>
        </is>
      </c>
      <c r="B6" s="2" t="inlineStr">
        <is>
          <t>Product-level exposure and default rates provide segment context.</t>
        </is>
      </c>
      <c r="C6" s="2" t="inlineStr">
        <is>
          <t>Product_Monthly</t>
        </is>
      </c>
    </row>
    <row r="7">
      <c r="A7" s="2" t="inlineStr">
        <is>
          <t>Region</t>
        </is>
      </c>
      <c r="B7" s="2" t="inlineStr">
        <is>
          <t>Regional comparisons should consider both counts and rates.</t>
        </is>
      </c>
      <c r="C7" s="2" t="inlineStr">
        <is>
          <t>Region_Monthly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Day 087 — Credit Risk Analysis Presentation Dashboard</t>
        </is>
      </c>
    </row>
    <row r="2">
      <c r="A2" s="2" t="inlineStr">
        <is>
          <t>Synthetic educational dataset | January 2023 to June 2023</t>
        </is>
      </c>
    </row>
    <row r="3">
      <c r="A3" s="2" t="n"/>
    </row>
    <row r="4">
      <c r="A4" s="2" t="inlineStr">
        <is>
          <t>Presentation Flow</t>
        </is>
      </c>
    </row>
    <row r="5">
      <c r="A5" s="2" t="inlineStr">
        <is>
          <t>Business Question → Dataset → Portfolio Trend → Product View → Regional View → KPI Summary → Interpretation → Limitations → Next Steps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Question</t>
        </is>
      </c>
    </row>
    <row r="2">
      <c r="A2" s="2" t="inlineStr">
        <is>
          <t>Which month has the highest loan exposure?</t>
        </is>
      </c>
    </row>
    <row r="3">
      <c r="A3" s="2" t="inlineStr">
        <is>
          <t>How has the default rate changed?</t>
        </is>
      </c>
    </row>
    <row r="4">
      <c r="A4" s="2" t="inlineStr">
        <is>
          <t>Which month has the highest high-risk share?</t>
        </is>
      </c>
    </row>
    <row r="5">
      <c r="A5" s="2" t="inlineStr">
        <is>
          <t>How has average credit score changed?</t>
        </is>
      </c>
    </row>
    <row r="6">
      <c r="A6" s="2" t="inlineStr">
        <is>
          <t>Which product has the largest exposure?</t>
        </is>
      </c>
    </row>
    <row r="7">
      <c r="A7" s="2" t="inlineStr">
        <is>
          <t>How do regional default rates compare?</t>
        </is>
      </c>
    </row>
    <row r="8">
      <c r="A8" s="2" t="inlineStr">
        <is>
          <t>Which observations require further investigation?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</cols>
  <sheetData>
    <row r="1">
      <c r="A1" s="1" t="inlineStr">
        <is>
          <t>Metric</t>
        </is>
      </c>
      <c r="B1" s="1" t="inlineStr">
        <is>
          <t>Formula / Meaning</t>
        </is>
      </c>
    </row>
    <row r="2">
      <c r="A2" s="2" t="inlineStr">
        <is>
          <t>Customers</t>
        </is>
      </c>
      <c r="B2" s="2" t="inlineStr">
        <is>
          <t>COUNT(Customer_ID)</t>
        </is>
      </c>
    </row>
    <row r="3">
      <c r="A3" s="2" t="inlineStr">
        <is>
          <t>Loan Exposure</t>
        </is>
      </c>
      <c r="B3" s="2" t="inlineStr">
        <is>
          <t>SUM(Loan_Exposure_Rupee)</t>
        </is>
      </c>
    </row>
    <row r="4">
      <c r="A4" s="2" t="inlineStr">
        <is>
          <t>Defaults</t>
        </is>
      </c>
      <c r="B4" s="2" t="inlineStr">
        <is>
          <t>SUM(Default_Flag)</t>
        </is>
      </c>
    </row>
    <row r="5">
      <c r="A5" s="2" t="inlineStr">
        <is>
          <t>High Risk</t>
        </is>
      </c>
      <c r="B5" s="2" t="inlineStr">
        <is>
          <t>SUM(High_Risk_Flag)</t>
        </is>
      </c>
    </row>
    <row r="6">
      <c r="A6" s="2" t="inlineStr">
        <is>
          <t>Default Rate %</t>
        </is>
      </c>
      <c r="B6" s="2" t="inlineStr">
        <is>
          <t>Defaults / Customers × 100</t>
        </is>
      </c>
    </row>
    <row r="7">
      <c r="A7" s="2" t="inlineStr">
        <is>
          <t>High-Risk Share %</t>
        </is>
      </c>
      <c r="B7" s="2" t="inlineStr">
        <is>
          <t>High Risk / Customers × 100</t>
        </is>
      </c>
    </row>
    <row r="8">
      <c r="A8" s="2" t="inlineStr">
        <is>
          <t>MoM Exposure Growth %</t>
        </is>
      </c>
      <c r="B8" s="2" t="inlineStr">
        <is>
          <t>(Current Exposure / Previous Exposure − 1) × 100</t>
        </is>
      </c>
    </row>
    <row r="9">
      <c r="A9" s="2" t="inlineStr">
        <is>
          <t>Default Rate Change pp</t>
        </is>
      </c>
      <c r="B9" s="2" t="inlineStr">
        <is>
          <t>Current Rate − Previous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2026-09-17T09:28:19Z</dcterms:created>
  <dcterms:modified xmlns:dcterms="http://purl.org/dc/terms/" xmlns:xsi="http://www.w3.org/2001/XMLSchema-instance" xsi:type="dcterms:W3CDTF">2026-09-17T09:28:19Z</dcterms:modified>
</cp:coreProperties>
</file>