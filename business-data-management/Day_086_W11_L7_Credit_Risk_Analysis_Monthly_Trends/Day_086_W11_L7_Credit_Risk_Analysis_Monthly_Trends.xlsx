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nthly_Trend_Data" sheetId="2" state="visible" r:id="rId2"/>
    <sheet xmlns:r="http://schemas.openxmlformats.org/officeDocument/2006/relationships" name="Monthly_KPIs" sheetId="3" state="visible" r:id="rId3"/>
    <sheet xmlns:r="http://schemas.openxmlformats.org/officeDocument/2006/relationships" name="Monthly_Risk_Summary" sheetId="4" state="visible" r:id="rId4"/>
    <sheet xmlns:r="http://schemas.openxmlformats.org/officeDocument/2006/relationships" name="Monthly_Product_Trends" sheetId="5" state="visible" r:id="rId5"/>
    <sheet xmlns:r="http://schemas.openxmlformats.org/officeDocument/2006/relationships" name="Monthly_Outcome_Review" sheetId="6" state="visible" r:id="rId6"/>
    <sheet xmlns:r="http://schemas.openxmlformats.org/officeDocument/2006/relationships" name="Dataset_Context" sheetId="7" state="visible" r:id="rId7"/>
    <sheet xmlns:r="http://schemas.openxmlformats.org/officeDocument/2006/relationships" name="Trend_Questions" sheetId="8" state="visible" r:id="rId8"/>
    <sheet xmlns:r="http://schemas.openxmlformats.org/officeDocument/2006/relationships" name="Credit_Risk_Monthly_Dashboard" sheetId="9" state="visible" r:id="rId9"/>
    <sheet xmlns:r="http://schemas.openxmlformats.org/officeDocument/2006/relationships" name="Risk_Framewor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Customer Volume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'Monthly_KPIs'!B1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'Monthly_KPIs'!$A$2:$A$13</f>
            </numRef>
          </cat>
          <val>
            <numRef>
              <f>'Monthly_KPIs'!$B$2:$B$13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Default Rate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'Monthly_KPIs'!E1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'Monthly_KPIs'!$A$2:$A$13</f>
            </numRef>
          </cat>
          <val>
            <numRef>
              <f>'Monthly_KPIs'!$E$2:$E$13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Default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Average Credit Score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'Monthly_KPIs'!F1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'Monthly_KPIs'!$A$2:$A$13</f>
            </numRef>
          </cat>
          <val>
            <numRef>
              <f>'Monthly_KPIs'!$F$2:$F$13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Average DTI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'Monthly_KPIs'!G1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'Monthly_KPIs'!$A$2:$A$13</f>
            </numRef>
          </cat>
          <val>
            <numRef>
              <f>'Monthly_KPIs'!$G$2:$G$13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DTI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High-Risk Share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'Monthly_KPIs'!I1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'Monthly_KPIs'!$A$2:$A$13</f>
            </numRef>
          </cat>
          <val>
            <numRef>
              <f>'Monthly_KPIs'!$I$2:$I$13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High-Risk Share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Loan Exposure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'Monthly_KPIs'!C1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'Monthly_KPIs'!$A$2:$A$13</f>
            </numRef>
          </cat>
          <val>
            <numRef>
              <f>'Monthly_KPIs'!$C$2:$C$13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Loan Exposure (Rupee)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3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19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35</row>
      <rowOff>0</rowOff>
    </from>
    <ext cx="432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35</row>
      <rowOff>0</rowOff>
    </from>
    <ext cx="432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Day 086 — Credit Risk Analysis: Monthly Trends</t>
        </is>
      </c>
      <c r="B1" s="1" t="n"/>
    </row>
    <row r="2">
      <c r="A2" t="inlineStr">
        <is>
          <t>Author</t>
        </is>
      </c>
      <c r="B2" t="inlineStr">
        <is>
          <t>Saloni Tiwari</t>
        </is>
      </c>
    </row>
    <row r="3">
      <c r="A3" t="inlineStr">
        <is>
          <t>Programme</t>
        </is>
      </c>
      <c r="B3" t="inlineStr">
        <is>
          <t>IIT Madras BS Degree — Diploma Level</t>
        </is>
      </c>
    </row>
    <row r="4">
      <c r="A4" t="inlineStr">
        <is>
          <t>Day</t>
        </is>
      </c>
      <c r="B4" t="n">
        <v>86</v>
      </c>
    </row>
    <row r="5">
      <c r="A5" t="inlineStr">
        <is>
          <t>Topic</t>
        </is>
      </c>
      <c r="B5" t="inlineStr">
        <is>
          <t>Credit Risk Analysis — Monthly Trends</t>
        </is>
      </c>
    </row>
    <row r="7">
      <c r="A7" t="inlineStr">
        <is>
          <t>Purpose</t>
        </is>
      </c>
      <c r="B7" t="inlineStr">
        <is>
          <t>Review how credit-risk indicators change across monthly periods.</t>
        </is>
      </c>
    </row>
    <row r="8">
      <c r="A8" t="inlineStr">
        <is>
          <t>Important</t>
        </is>
      </c>
      <c r="B8" t="inlineStr">
        <is>
          <t>This workbook uses synthetic educational monthly data and is not an official financial dataset.</t>
        </is>
      </c>
    </row>
    <row r="9">
      <c r="A9" t="inlineStr">
        <is>
          <t>Workflow</t>
        </is>
      </c>
      <c r="B9" t="inlineStr">
        <is>
          <t>Understand → Prepare → Aggregate → Compare → Visualise → Interpret → Document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24" customWidth="1" min="5" max="5"/>
    <col width="18" customWidth="1" min="6" max="6"/>
    <col width="24" customWidth="1" min="7" max="7"/>
  </cols>
  <sheetData>
    <row r="1">
      <c r="A1" s="1" t="inlineStr">
        <is>
          <t>Month</t>
        </is>
      </c>
      <c r="B1" s="1" t="inlineStr">
        <is>
          <t>Customers</t>
        </is>
      </c>
      <c r="C1" s="1" t="inlineStr">
        <is>
          <t>Loan_Exposure_Rupee</t>
        </is>
      </c>
      <c r="D1" s="1" t="inlineStr">
        <is>
          <t>Defaults</t>
        </is>
      </c>
      <c r="E1" s="1" t="inlineStr">
        <is>
          <t>Average_Credit_Score</t>
        </is>
      </c>
      <c r="F1" s="1" t="inlineStr">
        <is>
          <t>Average_DTI_%</t>
        </is>
      </c>
      <c r="G1" s="1" t="inlineStr">
        <is>
          <t>High_Risk_Customers</t>
        </is>
      </c>
    </row>
    <row r="2">
      <c r="A2" t="inlineStr">
        <is>
          <t>2026-01</t>
        </is>
      </c>
      <c r="B2" t="n">
        <v>42</v>
      </c>
      <c r="C2" t="n">
        <v>5250000</v>
      </c>
      <c r="D2" t="n">
        <v>3</v>
      </c>
      <c r="E2" t="n">
        <v>718</v>
      </c>
      <c r="F2" t="n">
        <v>31.5</v>
      </c>
      <c r="G2" t="n">
        <v>7</v>
      </c>
    </row>
    <row r="3">
      <c r="A3" t="inlineStr">
        <is>
          <t>2026-02</t>
        </is>
      </c>
      <c r="B3" t="n">
        <v>45</v>
      </c>
      <c r="C3" t="n">
        <v>5720000</v>
      </c>
      <c r="D3" t="n">
        <v>3</v>
      </c>
      <c r="E3" t="n">
        <v>721</v>
      </c>
      <c r="F3" t="n">
        <v>30.8</v>
      </c>
      <c r="G3" t="n">
        <v>7</v>
      </c>
    </row>
    <row r="4">
      <c r="A4" t="inlineStr">
        <is>
          <t>2026-03</t>
        </is>
      </c>
      <c r="B4" t="n">
        <v>47</v>
      </c>
      <c r="C4" t="n">
        <v>6100000</v>
      </c>
      <c r="D4" t="n">
        <v>4</v>
      </c>
      <c r="E4" t="n">
        <v>716</v>
      </c>
      <c r="F4" t="n">
        <v>32.1</v>
      </c>
      <c r="G4" t="n">
        <v>8</v>
      </c>
    </row>
    <row r="5">
      <c r="A5" t="inlineStr">
        <is>
          <t>2026-04</t>
        </is>
      </c>
      <c r="B5" t="n">
        <v>44</v>
      </c>
      <c r="C5" t="n">
        <v>5840000</v>
      </c>
      <c r="D5" t="n">
        <v>2</v>
      </c>
      <c r="E5" t="n">
        <v>724</v>
      </c>
      <c r="F5" t="n">
        <v>29.7</v>
      </c>
      <c r="G5" t="n">
        <v>6</v>
      </c>
    </row>
    <row r="6">
      <c r="A6" t="inlineStr">
        <is>
          <t>2026-05</t>
        </is>
      </c>
      <c r="B6" t="n">
        <v>50</v>
      </c>
      <c r="C6" t="n">
        <v>6750000</v>
      </c>
      <c r="D6" t="n">
        <v>4</v>
      </c>
      <c r="E6" t="n">
        <v>719</v>
      </c>
      <c r="F6" t="n">
        <v>31.2</v>
      </c>
      <c r="G6" t="n">
        <v>8</v>
      </c>
    </row>
    <row r="7">
      <c r="A7" t="inlineStr">
        <is>
          <t>2026-06</t>
        </is>
      </c>
      <c r="B7" t="n">
        <v>53</v>
      </c>
      <c r="C7" t="n">
        <v>7210000</v>
      </c>
      <c r="D7" t="n">
        <v>5</v>
      </c>
      <c r="E7" t="n">
        <v>714</v>
      </c>
      <c r="F7" t="n">
        <v>33</v>
      </c>
      <c r="G7" t="n">
        <v>10</v>
      </c>
    </row>
    <row r="8">
      <c r="A8" t="inlineStr">
        <is>
          <t>2026-07</t>
        </is>
      </c>
      <c r="B8" t="n">
        <v>55</v>
      </c>
      <c r="C8" t="n">
        <v>7680000</v>
      </c>
      <c r="D8" t="n">
        <v>5</v>
      </c>
      <c r="E8" t="n">
        <v>711</v>
      </c>
      <c r="F8" t="n">
        <v>34.1</v>
      </c>
      <c r="G8" t="n">
        <v>11</v>
      </c>
    </row>
    <row r="9">
      <c r="A9" t="inlineStr">
        <is>
          <t>2026-08</t>
        </is>
      </c>
      <c r="B9" t="n">
        <v>52</v>
      </c>
      <c r="C9" t="n">
        <v>7350000</v>
      </c>
      <c r="D9" t="n">
        <v>4</v>
      </c>
      <c r="E9" t="n">
        <v>715</v>
      </c>
      <c r="F9" t="n">
        <v>32.8</v>
      </c>
      <c r="G9" t="n">
        <v>9</v>
      </c>
    </row>
    <row r="10">
      <c r="A10" t="inlineStr">
        <is>
          <t>2026-09</t>
        </is>
      </c>
      <c r="B10" t="n">
        <v>58</v>
      </c>
      <c r="C10" t="n">
        <v>8120000</v>
      </c>
      <c r="D10" t="n">
        <v>6</v>
      </c>
      <c r="E10" t="n">
        <v>709</v>
      </c>
      <c r="F10" t="n">
        <v>35</v>
      </c>
      <c r="G10" t="n">
        <v>12</v>
      </c>
    </row>
    <row r="11">
      <c r="A11" t="inlineStr">
        <is>
          <t>2026-10</t>
        </is>
      </c>
      <c r="B11" t="n">
        <v>61</v>
      </c>
      <c r="C11" t="n">
        <v>8560000</v>
      </c>
      <c r="D11" t="n">
        <v>6</v>
      </c>
      <c r="E11" t="n">
        <v>707</v>
      </c>
      <c r="F11" t="n">
        <v>35.7</v>
      </c>
      <c r="G11" t="n">
        <v>13</v>
      </c>
    </row>
    <row r="12">
      <c r="A12" t="inlineStr">
        <is>
          <t>2026-11</t>
        </is>
      </c>
      <c r="B12" t="n">
        <v>59</v>
      </c>
      <c r="C12" t="n">
        <v>8210000</v>
      </c>
      <c r="D12" t="n">
        <v>5</v>
      </c>
      <c r="E12" t="n">
        <v>712</v>
      </c>
      <c r="F12" t="n">
        <v>34</v>
      </c>
      <c r="G12" t="n">
        <v>11</v>
      </c>
    </row>
    <row r="13">
      <c r="A13" t="inlineStr">
        <is>
          <t>2026-12</t>
        </is>
      </c>
      <c r="B13" t="n">
        <v>64</v>
      </c>
      <c r="C13" t="n">
        <v>9050000</v>
      </c>
      <c r="D13" t="n">
        <v>7</v>
      </c>
      <c r="E13" t="n">
        <v>704</v>
      </c>
      <c r="F13" t="n">
        <v>36.2</v>
      </c>
      <c r="G13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2" customWidth="1" min="4" max="4"/>
    <col width="18" customWidth="1" min="5" max="5"/>
    <col width="24" customWidth="1" min="6" max="6"/>
    <col width="18" customWidth="1" min="7" max="7"/>
    <col width="24" customWidth="1" min="8" max="8"/>
    <col width="22" customWidth="1" min="9" max="9"/>
  </cols>
  <sheetData>
    <row r="1">
      <c r="A1" s="1" t="inlineStr">
        <is>
          <t>Month</t>
        </is>
      </c>
      <c r="B1" s="1" t="inlineStr">
        <is>
          <t>Customers</t>
        </is>
      </c>
      <c r="C1" s="1" t="inlineStr">
        <is>
          <t>Loan Exposure (Rupee)</t>
        </is>
      </c>
      <c r="D1" s="1" t="inlineStr">
        <is>
          <t>Defaults</t>
        </is>
      </c>
      <c r="E1" s="1" t="inlineStr">
        <is>
          <t>Default Rate (%)</t>
        </is>
      </c>
      <c r="F1" s="1" t="inlineStr">
        <is>
          <t>Average Credit Score</t>
        </is>
      </c>
      <c r="G1" s="1" t="inlineStr">
        <is>
          <t>Average DTI (%)</t>
        </is>
      </c>
      <c r="H1" s="1" t="inlineStr">
        <is>
          <t>High-Risk Customers</t>
        </is>
      </c>
      <c r="I1" s="1" t="inlineStr">
        <is>
          <t>High-Risk Share (%)</t>
        </is>
      </c>
    </row>
    <row r="2">
      <c r="A2">
        <f>'Monthly_Trend_Data'!A2</f>
        <v/>
      </c>
      <c r="B2">
        <f>'Monthly_Trend_Data'!B2</f>
        <v/>
      </c>
      <c r="C2">
        <f>'Monthly_Trend_Data'!C2</f>
        <v/>
      </c>
      <c r="D2">
        <f>'Monthly_Trend_Data'!D2</f>
        <v/>
      </c>
      <c r="E2">
        <f>D2/B2*100</f>
        <v/>
      </c>
      <c r="F2">
        <f>'Monthly_Trend_Data'!E2</f>
        <v/>
      </c>
      <c r="G2">
        <f>'Monthly_Trend_Data'!F2</f>
        <v/>
      </c>
      <c r="H2">
        <f>'Monthly_Trend_Data'!G2</f>
        <v/>
      </c>
      <c r="I2">
        <f>H2/B2*100</f>
        <v/>
      </c>
    </row>
    <row r="3">
      <c r="A3">
        <f>'Monthly_Trend_Data'!A3</f>
        <v/>
      </c>
      <c r="B3">
        <f>'Monthly_Trend_Data'!B3</f>
        <v/>
      </c>
      <c r="C3">
        <f>'Monthly_Trend_Data'!C3</f>
        <v/>
      </c>
      <c r="D3">
        <f>'Monthly_Trend_Data'!D3</f>
        <v/>
      </c>
      <c r="E3">
        <f>D3/B3*100</f>
        <v/>
      </c>
      <c r="F3">
        <f>'Monthly_Trend_Data'!E3</f>
        <v/>
      </c>
      <c r="G3">
        <f>'Monthly_Trend_Data'!F3</f>
        <v/>
      </c>
      <c r="H3">
        <f>'Monthly_Trend_Data'!G3</f>
        <v/>
      </c>
      <c r="I3">
        <f>H3/B3*100</f>
        <v/>
      </c>
    </row>
    <row r="4">
      <c r="A4">
        <f>'Monthly_Trend_Data'!A4</f>
        <v/>
      </c>
      <c r="B4">
        <f>'Monthly_Trend_Data'!B4</f>
        <v/>
      </c>
      <c r="C4">
        <f>'Monthly_Trend_Data'!C4</f>
        <v/>
      </c>
      <c r="D4">
        <f>'Monthly_Trend_Data'!D4</f>
        <v/>
      </c>
      <c r="E4">
        <f>D4/B4*100</f>
        <v/>
      </c>
      <c r="F4">
        <f>'Monthly_Trend_Data'!E4</f>
        <v/>
      </c>
      <c r="G4">
        <f>'Monthly_Trend_Data'!F4</f>
        <v/>
      </c>
      <c r="H4">
        <f>'Monthly_Trend_Data'!G4</f>
        <v/>
      </c>
      <c r="I4">
        <f>H4/B4*100</f>
        <v/>
      </c>
    </row>
    <row r="5">
      <c r="A5">
        <f>'Monthly_Trend_Data'!A5</f>
        <v/>
      </c>
      <c r="B5">
        <f>'Monthly_Trend_Data'!B5</f>
        <v/>
      </c>
      <c r="C5">
        <f>'Monthly_Trend_Data'!C5</f>
        <v/>
      </c>
      <c r="D5">
        <f>'Monthly_Trend_Data'!D5</f>
        <v/>
      </c>
      <c r="E5">
        <f>D5/B5*100</f>
        <v/>
      </c>
      <c r="F5">
        <f>'Monthly_Trend_Data'!E5</f>
        <v/>
      </c>
      <c r="G5">
        <f>'Monthly_Trend_Data'!F5</f>
        <v/>
      </c>
      <c r="H5">
        <f>'Monthly_Trend_Data'!G5</f>
        <v/>
      </c>
      <c r="I5">
        <f>H5/B5*100</f>
        <v/>
      </c>
    </row>
    <row r="6">
      <c r="A6">
        <f>'Monthly_Trend_Data'!A6</f>
        <v/>
      </c>
      <c r="B6">
        <f>'Monthly_Trend_Data'!B6</f>
        <v/>
      </c>
      <c r="C6">
        <f>'Monthly_Trend_Data'!C6</f>
        <v/>
      </c>
      <c r="D6">
        <f>'Monthly_Trend_Data'!D6</f>
        <v/>
      </c>
      <c r="E6">
        <f>D6/B6*100</f>
        <v/>
      </c>
      <c r="F6">
        <f>'Monthly_Trend_Data'!E6</f>
        <v/>
      </c>
      <c r="G6">
        <f>'Monthly_Trend_Data'!F6</f>
        <v/>
      </c>
      <c r="H6">
        <f>'Monthly_Trend_Data'!G6</f>
        <v/>
      </c>
      <c r="I6">
        <f>H6/B6*100</f>
        <v/>
      </c>
    </row>
    <row r="7">
      <c r="A7">
        <f>'Monthly_Trend_Data'!A7</f>
        <v/>
      </c>
      <c r="B7">
        <f>'Monthly_Trend_Data'!B7</f>
        <v/>
      </c>
      <c r="C7">
        <f>'Monthly_Trend_Data'!C7</f>
        <v/>
      </c>
      <c r="D7">
        <f>'Monthly_Trend_Data'!D7</f>
        <v/>
      </c>
      <c r="E7">
        <f>D7/B7*100</f>
        <v/>
      </c>
      <c r="F7">
        <f>'Monthly_Trend_Data'!E7</f>
        <v/>
      </c>
      <c r="G7">
        <f>'Monthly_Trend_Data'!F7</f>
        <v/>
      </c>
      <c r="H7">
        <f>'Monthly_Trend_Data'!G7</f>
        <v/>
      </c>
      <c r="I7">
        <f>H7/B7*100</f>
        <v/>
      </c>
    </row>
    <row r="8">
      <c r="A8">
        <f>'Monthly_Trend_Data'!A8</f>
        <v/>
      </c>
      <c r="B8">
        <f>'Monthly_Trend_Data'!B8</f>
        <v/>
      </c>
      <c r="C8">
        <f>'Monthly_Trend_Data'!C8</f>
        <v/>
      </c>
      <c r="D8">
        <f>'Monthly_Trend_Data'!D8</f>
        <v/>
      </c>
      <c r="E8">
        <f>D8/B8*100</f>
        <v/>
      </c>
      <c r="F8">
        <f>'Monthly_Trend_Data'!E8</f>
        <v/>
      </c>
      <c r="G8">
        <f>'Monthly_Trend_Data'!F8</f>
        <v/>
      </c>
      <c r="H8">
        <f>'Monthly_Trend_Data'!G8</f>
        <v/>
      </c>
      <c r="I8">
        <f>H8/B8*100</f>
        <v/>
      </c>
    </row>
    <row r="9">
      <c r="A9">
        <f>'Monthly_Trend_Data'!A9</f>
        <v/>
      </c>
      <c r="B9">
        <f>'Monthly_Trend_Data'!B9</f>
        <v/>
      </c>
      <c r="C9">
        <f>'Monthly_Trend_Data'!C9</f>
        <v/>
      </c>
      <c r="D9">
        <f>'Monthly_Trend_Data'!D9</f>
        <v/>
      </c>
      <c r="E9">
        <f>D9/B9*100</f>
        <v/>
      </c>
      <c r="F9">
        <f>'Monthly_Trend_Data'!E9</f>
        <v/>
      </c>
      <c r="G9">
        <f>'Monthly_Trend_Data'!F9</f>
        <v/>
      </c>
      <c r="H9">
        <f>'Monthly_Trend_Data'!G9</f>
        <v/>
      </c>
      <c r="I9">
        <f>H9/B9*100</f>
        <v/>
      </c>
    </row>
    <row r="10">
      <c r="A10">
        <f>'Monthly_Trend_Data'!A10</f>
        <v/>
      </c>
      <c r="B10">
        <f>'Monthly_Trend_Data'!B10</f>
        <v/>
      </c>
      <c r="C10">
        <f>'Monthly_Trend_Data'!C10</f>
        <v/>
      </c>
      <c r="D10">
        <f>'Monthly_Trend_Data'!D10</f>
        <v/>
      </c>
      <c r="E10">
        <f>D10/B10*100</f>
        <v/>
      </c>
      <c r="F10">
        <f>'Monthly_Trend_Data'!E10</f>
        <v/>
      </c>
      <c r="G10">
        <f>'Monthly_Trend_Data'!F10</f>
        <v/>
      </c>
      <c r="H10">
        <f>'Monthly_Trend_Data'!G10</f>
        <v/>
      </c>
      <c r="I10">
        <f>H10/B10*100</f>
        <v/>
      </c>
    </row>
    <row r="11">
      <c r="A11">
        <f>'Monthly_Trend_Data'!A11</f>
        <v/>
      </c>
      <c r="B11">
        <f>'Monthly_Trend_Data'!B11</f>
        <v/>
      </c>
      <c r="C11">
        <f>'Monthly_Trend_Data'!C11</f>
        <v/>
      </c>
      <c r="D11">
        <f>'Monthly_Trend_Data'!D11</f>
        <v/>
      </c>
      <c r="E11">
        <f>D11/B11*100</f>
        <v/>
      </c>
      <c r="F11">
        <f>'Monthly_Trend_Data'!E11</f>
        <v/>
      </c>
      <c r="G11">
        <f>'Monthly_Trend_Data'!F11</f>
        <v/>
      </c>
      <c r="H11">
        <f>'Monthly_Trend_Data'!G11</f>
        <v/>
      </c>
      <c r="I11">
        <f>H11/B11*100</f>
        <v/>
      </c>
    </row>
    <row r="12">
      <c r="A12">
        <f>'Monthly_Trend_Data'!A12</f>
        <v/>
      </c>
      <c r="B12">
        <f>'Monthly_Trend_Data'!B12</f>
        <v/>
      </c>
      <c r="C12">
        <f>'Monthly_Trend_Data'!C12</f>
        <v/>
      </c>
      <c r="D12">
        <f>'Monthly_Trend_Data'!D12</f>
        <v/>
      </c>
      <c r="E12">
        <f>D12/B12*100</f>
        <v/>
      </c>
      <c r="F12">
        <f>'Monthly_Trend_Data'!E12</f>
        <v/>
      </c>
      <c r="G12">
        <f>'Monthly_Trend_Data'!F12</f>
        <v/>
      </c>
      <c r="H12">
        <f>'Monthly_Trend_Data'!G12</f>
        <v/>
      </c>
      <c r="I12">
        <f>H12/B12*100</f>
        <v/>
      </c>
    </row>
    <row r="13">
      <c r="A13">
        <f>'Monthly_Trend_Data'!A13</f>
        <v/>
      </c>
      <c r="B13">
        <f>'Monthly_Trend_Data'!B13</f>
        <v/>
      </c>
      <c r="C13">
        <f>'Monthly_Trend_Data'!C13</f>
        <v/>
      </c>
      <c r="D13">
        <f>'Monthly_Trend_Data'!D13</f>
        <v/>
      </c>
      <c r="E13">
        <f>D13/B13*100</f>
        <v/>
      </c>
      <c r="F13">
        <f>'Monthly_Trend_Data'!E13</f>
        <v/>
      </c>
      <c r="G13">
        <f>'Monthly_Trend_Data'!F13</f>
        <v/>
      </c>
      <c r="H13">
        <f>'Monthly_Trend_Data'!G13</f>
        <v/>
      </c>
      <c r="I13">
        <f>H13/B13*100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2" customWidth="1" min="4" max="4"/>
    <col width="18" customWidth="1" min="5" max="5"/>
    <col width="24" customWidth="1" min="6" max="6"/>
    <col width="22" customWidth="1" min="7" max="7"/>
    <col width="24" customWidth="1" min="8" max="8"/>
    <col width="18" customWidth="1" min="9" max="9"/>
  </cols>
  <sheetData>
    <row r="1">
      <c r="A1" s="1" t="inlineStr">
        <is>
          <t>Month</t>
        </is>
      </c>
      <c r="B1" s="1" t="inlineStr">
        <is>
          <t>Customers</t>
        </is>
      </c>
      <c r="C1" s="1" t="inlineStr">
        <is>
          <t>Exposure (Rupee)</t>
        </is>
      </c>
      <c r="D1" s="1" t="inlineStr">
        <is>
          <t>Defaults</t>
        </is>
      </c>
      <c r="E1" s="1" t="inlineStr">
        <is>
          <t>Default Rate (%)</t>
        </is>
      </c>
      <c r="F1" s="1" t="inlineStr">
        <is>
          <t>High-Risk Customers</t>
        </is>
      </c>
      <c r="G1" s="1" t="inlineStr">
        <is>
          <t>High-Risk Share (%)</t>
        </is>
      </c>
      <c r="H1" s="1" t="inlineStr">
        <is>
          <t>Average Credit Score</t>
        </is>
      </c>
      <c r="I1" s="1" t="inlineStr">
        <is>
          <t>Average DTI (%)</t>
        </is>
      </c>
    </row>
    <row r="2">
      <c r="A2">
        <f>'Monthly_KPIs'!A2</f>
        <v/>
      </c>
      <c r="B2">
        <f>'Monthly_KPIs'!B2</f>
        <v/>
      </c>
      <c r="C2">
        <f>'Monthly_KPIs'!C2</f>
        <v/>
      </c>
      <c r="D2">
        <f>'Monthly_KPIs'!D2</f>
        <v/>
      </c>
      <c r="E2">
        <f>'Monthly_KPIs'!E2</f>
        <v/>
      </c>
      <c r="F2">
        <f>'Monthly_KPIs'!H2</f>
        <v/>
      </c>
      <c r="G2">
        <f>'Monthly_KPIs'!I2</f>
        <v/>
      </c>
      <c r="H2">
        <f>'Monthly_KPIs'!F2</f>
        <v/>
      </c>
      <c r="I2">
        <f>'Monthly_KPIs'!G2</f>
        <v/>
      </c>
    </row>
    <row r="3">
      <c r="A3">
        <f>'Monthly_KPIs'!A3</f>
        <v/>
      </c>
      <c r="B3">
        <f>'Monthly_KPIs'!B3</f>
        <v/>
      </c>
      <c r="C3">
        <f>'Monthly_KPIs'!C3</f>
        <v/>
      </c>
      <c r="D3">
        <f>'Monthly_KPIs'!D3</f>
        <v/>
      </c>
      <c r="E3">
        <f>'Monthly_KPIs'!E3</f>
        <v/>
      </c>
      <c r="F3">
        <f>'Monthly_KPIs'!H3</f>
        <v/>
      </c>
      <c r="G3">
        <f>'Monthly_KPIs'!I3</f>
        <v/>
      </c>
      <c r="H3">
        <f>'Monthly_KPIs'!F3</f>
        <v/>
      </c>
      <c r="I3">
        <f>'Monthly_KPIs'!G3</f>
        <v/>
      </c>
    </row>
    <row r="4">
      <c r="A4">
        <f>'Monthly_KPIs'!A4</f>
        <v/>
      </c>
      <c r="B4">
        <f>'Monthly_KPIs'!B4</f>
        <v/>
      </c>
      <c r="C4">
        <f>'Monthly_KPIs'!C4</f>
        <v/>
      </c>
      <c r="D4">
        <f>'Monthly_KPIs'!D4</f>
        <v/>
      </c>
      <c r="E4">
        <f>'Monthly_KPIs'!E4</f>
        <v/>
      </c>
      <c r="F4">
        <f>'Monthly_KPIs'!H4</f>
        <v/>
      </c>
      <c r="G4">
        <f>'Monthly_KPIs'!I4</f>
        <v/>
      </c>
      <c r="H4">
        <f>'Monthly_KPIs'!F4</f>
        <v/>
      </c>
      <c r="I4">
        <f>'Monthly_KPIs'!G4</f>
        <v/>
      </c>
    </row>
    <row r="5">
      <c r="A5">
        <f>'Monthly_KPIs'!A5</f>
        <v/>
      </c>
      <c r="B5">
        <f>'Monthly_KPIs'!B5</f>
        <v/>
      </c>
      <c r="C5">
        <f>'Monthly_KPIs'!C5</f>
        <v/>
      </c>
      <c r="D5">
        <f>'Monthly_KPIs'!D5</f>
        <v/>
      </c>
      <c r="E5">
        <f>'Monthly_KPIs'!E5</f>
        <v/>
      </c>
      <c r="F5">
        <f>'Monthly_KPIs'!H5</f>
        <v/>
      </c>
      <c r="G5">
        <f>'Monthly_KPIs'!I5</f>
        <v/>
      </c>
      <c r="H5">
        <f>'Monthly_KPIs'!F5</f>
        <v/>
      </c>
      <c r="I5">
        <f>'Monthly_KPIs'!G5</f>
        <v/>
      </c>
    </row>
    <row r="6">
      <c r="A6">
        <f>'Monthly_KPIs'!A6</f>
        <v/>
      </c>
      <c r="B6">
        <f>'Monthly_KPIs'!B6</f>
        <v/>
      </c>
      <c r="C6">
        <f>'Monthly_KPIs'!C6</f>
        <v/>
      </c>
      <c r="D6">
        <f>'Monthly_KPIs'!D6</f>
        <v/>
      </c>
      <c r="E6">
        <f>'Monthly_KPIs'!E6</f>
        <v/>
      </c>
      <c r="F6">
        <f>'Monthly_KPIs'!H6</f>
        <v/>
      </c>
      <c r="G6">
        <f>'Monthly_KPIs'!I6</f>
        <v/>
      </c>
      <c r="H6">
        <f>'Monthly_KPIs'!F6</f>
        <v/>
      </c>
      <c r="I6">
        <f>'Monthly_KPIs'!G6</f>
        <v/>
      </c>
    </row>
    <row r="7">
      <c r="A7">
        <f>'Monthly_KPIs'!A7</f>
        <v/>
      </c>
      <c r="B7">
        <f>'Monthly_KPIs'!B7</f>
        <v/>
      </c>
      <c r="C7">
        <f>'Monthly_KPIs'!C7</f>
        <v/>
      </c>
      <c r="D7">
        <f>'Monthly_KPIs'!D7</f>
        <v/>
      </c>
      <c r="E7">
        <f>'Monthly_KPIs'!E7</f>
        <v/>
      </c>
      <c r="F7">
        <f>'Monthly_KPIs'!H7</f>
        <v/>
      </c>
      <c r="G7">
        <f>'Monthly_KPIs'!I7</f>
        <v/>
      </c>
      <c r="H7">
        <f>'Monthly_KPIs'!F7</f>
        <v/>
      </c>
      <c r="I7">
        <f>'Monthly_KPIs'!G7</f>
        <v/>
      </c>
    </row>
    <row r="8">
      <c r="A8">
        <f>'Monthly_KPIs'!A8</f>
        <v/>
      </c>
      <c r="B8">
        <f>'Monthly_KPIs'!B8</f>
        <v/>
      </c>
      <c r="C8">
        <f>'Monthly_KPIs'!C8</f>
        <v/>
      </c>
      <c r="D8">
        <f>'Monthly_KPIs'!D8</f>
        <v/>
      </c>
      <c r="E8">
        <f>'Monthly_KPIs'!E8</f>
        <v/>
      </c>
      <c r="F8">
        <f>'Monthly_KPIs'!H8</f>
        <v/>
      </c>
      <c r="G8">
        <f>'Monthly_KPIs'!I8</f>
        <v/>
      </c>
      <c r="H8">
        <f>'Monthly_KPIs'!F8</f>
        <v/>
      </c>
      <c r="I8">
        <f>'Monthly_KPIs'!G8</f>
        <v/>
      </c>
    </row>
    <row r="9">
      <c r="A9">
        <f>'Monthly_KPIs'!A9</f>
        <v/>
      </c>
      <c r="B9">
        <f>'Monthly_KPIs'!B9</f>
        <v/>
      </c>
      <c r="C9">
        <f>'Monthly_KPIs'!C9</f>
        <v/>
      </c>
      <c r="D9">
        <f>'Monthly_KPIs'!D9</f>
        <v/>
      </c>
      <c r="E9">
        <f>'Monthly_KPIs'!E9</f>
        <v/>
      </c>
      <c r="F9">
        <f>'Monthly_KPIs'!H9</f>
        <v/>
      </c>
      <c r="G9">
        <f>'Monthly_KPIs'!I9</f>
        <v/>
      </c>
      <c r="H9">
        <f>'Monthly_KPIs'!F9</f>
        <v/>
      </c>
      <c r="I9">
        <f>'Monthly_KPIs'!G9</f>
        <v/>
      </c>
    </row>
    <row r="10">
      <c r="A10">
        <f>'Monthly_KPIs'!A10</f>
        <v/>
      </c>
      <c r="B10">
        <f>'Monthly_KPIs'!B10</f>
        <v/>
      </c>
      <c r="C10">
        <f>'Monthly_KPIs'!C10</f>
        <v/>
      </c>
      <c r="D10">
        <f>'Monthly_KPIs'!D10</f>
        <v/>
      </c>
      <c r="E10">
        <f>'Monthly_KPIs'!E10</f>
        <v/>
      </c>
      <c r="F10">
        <f>'Monthly_KPIs'!H10</f>
        <v/>
      </c>
      <c r="G10">
        <f>'Monthly_KPIs'!I10</f>
        <v/>
      </c>
      <c r="H10">
        <f>'Monthly_KPIs'!F10</f>
        <v/>
      </c>
      <c r="I10">
        <f>'Monthly_KPIs'!G10</f>
        <v/>
      </c>
    </row>
    <row r="11">
      <c r="A11">
        <f>'Monthly_KPIs'!A11</f>
        <v/>
      </c>
      <c r="B11">
        <f>'Monthly_KPIs'!B11</f>
        <v/>
      </c>
      <c r="C11">
        <f>'Monthly_KPIs'!C11</f>
        <v/>
      </c>
      <c r="D11">
        <f>'Monthly_KPIs'!D11</f>
        <v/>
      </c>
      <c r="E11">
        <f>'Monthly_KPIs'!E11</f>
        <v/>
      </c>
      <c r="F11">
        <f>'Monthly_KPIs'!H11</f>
        <v/>
      </c>
      <c r="G11">
        <f>'Monthly_KPIs'!I11</f>
        <v/>
      </c>
      <c r="H11">
        <f>'Monthly_KPIs'!F11</f>
        <v/>
      </c>
      <c r="I11">
        <f>'Monthly_KPIs'!G11</f>
        <v/>
      </c>
    </row>
    <row r="12">
      <c r="A12">
        <f>'Monthly_KPIs'!A12</f>
        <v/>
      </c>
      <c r="B12">
        <f>'Monthly_KPIs'!B12</f>
        <v/>
      </c>
      <c r="C12">
        <f>'Monthly_KPIs'!C12</f>
        <v/>
      </c>
      <c r="D12">
        <f>'Monthly_KPIs'!D12</f>
        <v/>
      </c>
      <c r="E12">
        <f>'Monthly_KPIs'!E12</f>
        <v/>
      </c>
      <c r="F12">
        <f>'Monthly_KPIs'!H12</f>
        <v/>
      </c>
      <c r="G12">
        <f>'Monthly_KPIs'!I12</f>
        <v/>
      </c>
      <c r="H12">
        <f>'Monthly_KPIs'!F12</f>
        <v/>
      </c>
      <c r="I12">
        <f>'Monthly_KPIs'!G12</f>
        <v/>
      </c>
    </row>
    <row r="13">
      <c r="A13">
        <f>'Monthly_KPIs'!A13</f>
        <v/>
      </c>
      <c r="B13">
        <f>'Monthly_KPIs'!B13</f>
        <v/>
      </c>
      <c r="C13">
        <f>'Monthly_KPIs'!C13</f>
        <v/>
      </c>
      <c r="D13">
        <f>'Monthly_KPIs'!D13</f>
        <v/>
      </c>
      <c r="E13">
        <f>'Monthly_KPIs'!E13</f>
        <v/>
      </c>
      <c r="F13">
        <f>'Monthly_KPIs'!H13</f>
        <v/>
      </c>
      <c r="G13">
        <f>'Monthly_KPIs'!I13</f>
        <v/>
      </c>
      <c r="H13">
        <f>'Monthly_KPIs'!F13</f>
        <v/>
      </c>
      <c r="I13">
        <f>'Monthly_KPIs'!G13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4" customWidth="1" min="4" max="4"/>
    <col width="12" customWidth="1" min="5" max="5"/>
    <col width="18" customWidth="1" min="6" max="6"/>
  </cols>
  <sheetData>
    <row r="1">
      <c r="A1" s="1" t="inlineStr">
        <is>
          <t>Month</t>
        </is>
      </c>
      <c r="B1" s="1" t="inlineStr">
        <is>
          <t>Loan Product</t>
        </is>
      </c>
      <c r="C1" s="1" t="inlineStr">
        <is>
          <t>Customers</t>
        </is>
      </c>
      <c r="D1" s="1" t="inlineStr">
        <is>
          <t>Loan Exposure (Rupee)</t>
        </is>
      </c>
      <c r="E1" s="1" t="inlineStr">
        <is>
          <t>Defaults</t>
        </is>
      </c>
      <c r="F1" s="1" t="inlineStr">
        <is>
          <t>Default Rate (%)</t>
        </is>
      </c>
    </row>
    <row r="2">
      <c r="A2" t="inlineStr">
        <is>
          <t>2026-01</t>
        </is>
      </c>
      <c r="B2" t="inlineStr">
        <is>
          <t>Personal Loan</t>
        </is>
      </c>
      <c r="C2" t="n">
        <v>21</v>
      </c>
      <c r="D2" t="n">
        <v>2205000</v>
      </c>
      <c r="E2" t="n">
        <v>2</v>
      </c>
      <c r="F2">
        <f>E2/C2*100</f>
        <v/>
      </c>
    </row>
    <row r="3">
      <c r="A3" t="inlineStr">
        <is>
          <t>2026-01</t>
        </is>
      </c>
      <c r="B3" t="inlineStr">
        <is>
          <t>Business Loan</t>
        </is>
      </c>
      <c r="C3" t="n">
        <v>13</v>
      </c>
      <c r="D3" t="n">
        <v>1732500</v>
      </c>
      <c r="E3" t="n">
        <v>1</v>
      </c>
      <c r="F3">
        <f>E3/C3*100</f>
        <v/>
      </c>
    </row>
    <row r="4">
      <c r="A4" t="inlineStr">
        <is>
          <t>2026-01</t>
        </is>
      </c>
      <c r="B4" t="inlineStr">
        <is>
          <t>Home Loan</t>
        </is>
      </c>
      <c r="C4" t="n">
        <v>8</v>
      </c>
      <c r="D4" t="n">
        <v>1312500</v>
      </c>
      <c r="E4" t="n">
        <v>0</v>
      </c>
      <c r="F4">
        <f>E4/C4*100</f>
        <v/>
      </c>
    </row>
    <row r="5">
      <c r="A5" t="inlineStr">
        <is>
          <t>2026-02</t>
        </is>
      </c>
      <c r="B5" t="inlineStr">
        <is>
          <t>Personal Loan</t>
        </is>
      </c>
      <c r="C5" t="n">
        <v>22</v>
      </c>
      <c r="D5" t="n">
        <v>2402400</v>
      </c>
      <c r="E5" t="n">
        <v>2</v>
      </c>
      <c r="F5">
        <f>E5/C5*100</f>
        <v/>
      </c>
    </row>
    <row r="6">
      <c r="A6" t="inlineStr">
        <is>
          <t>2026-02</t>
        </is>
      </c>
      <c r="B6" t="inlineStr">
        <is>
          <t>Business Loan</t>
        </is>
      </c>
      <c r="C6" t="n">
        <v>14</v>
      </c>
      <c r="D6" t="n">
        <v>1887600</v>
      </c>
      <c r="E6" t="n">
        <v>1</v>
      </c>
      <c r="F6">
        <f>E6/C6*100</f>
        <v/>
      </c>
    </row>
    <row r="7">
      <c r="A7" t="inlineStr">
        <is>
          <t>2026-02</t>
        </is>
      </c>
      <c r="B7" t="inlineStr">
        <is>
          <t>Home Loan</t>
        </is>
      </c>
      <c r="C7" t="n">
        <v>9</v>
      </c>
      <c r="D7" t="n">
        <v>1430000</v>
      </c>
      <c r="E7" t="n">
        <v>0</v>
      </c>
      <c r="F7">
        <f>E7/C7*100</f>
        <v/>
      </c>
    </row>
    <row r="8">
      <c r="A8" t="inlineStr">
        <is>
          <t>2026-03</t>
        </is>
      </c>
      <c r="B8" t="inlineStr">
        <is>
          <t>Personal Loan</t>
        </is>
      </c>
      <c r="C8" t="n">
        <v>24</v>
      </c>
      <c r="D8" t="n">
        <v>2562000</v>
      </c>
      <c r="E8" t="n">
        <v>2</v>
      </c>
      <c r="F8">
        <f>E8/C8*100</f>
        <v/>
      </c>
    </row>
    <row r="9">
      <c r="A9" t="inlineStr">
        <is>
          <t>2026-03</t>
        </is>
      </c>
      <c r="B9" t="inlineStr">
        <is>
          <t>Business Loan</t>
        </is>
      </c>
      <c r="C9" t="n">
        <v>14</v>
      </c>
      <c r="D9" t="n">
        <v>2013000</v>
      </c>
      <c r="E9" t="n">
        <v>1</v>
      </c>
      <c r="F9">
        <f>E9/C9*100</f>
        <v/>
      </c>
    </row>
    <row r="10">
      <c r="A10" t="inlineStr">
        <is>
          <t>2026-03</t>
        </is>
      </c>
      <c r="B10" t="inlineStr">
        <is>
          <t>Home Loan</t>
        </is>
      </c>
      <c r="C10" t="n">
        <v>9</v>
      </c>
      <c r="D10" t="n">
        <v>1525000</v>
      </c>
      <c r="E10" t="n">
        <v>1</v>
      </c>
      <c r="F10">
        <f>E10/C10*100</f>
        <v/>
      </c>
    </row>
    <row r="11">
      <c r="A11" t="inlineStr">
        <is>
          <t>2026-04</t>
        </is>
      </c>
      <c r="B11" t="inlineStr">
        <is>
          <t>Personal Loan</t>
        </is>
      </c>
      <c r="C11" t="n">
        <v>22</v>
      </c>
      <c r="D11" t="n">
        <v>2452800</v>
      </c>
      <c r="E11" t="n">
        <v>1</v>
      </c>
      <c r="F11">
        <f>E11/C11*100</f>
        <v/>
      </c>
    </row>
    <row r="12">
      <c r="A12" t="inlineStr">
        <is>
          <t>2026-04</t>
        </is>
      </c>
      <c r="B12" t="inlineStr">
        <is>
          <t>Business Loan</t>
        </is>
      </c>
      <c r="C12" t="n">
        <v>13</v>
      </c>
      <c r="D12" t="n">
        <v>1927200</v>
      </c>
      <c r="E12" t="n">
        <v>0</v>
      </c>
      <c r="F12">
        <f>E12/C12*100</f>
        <v/>
      </c>
    </row>
    <row r="13">
      <c r="A13" t="inlineStr">
        <is>
          <t>2026-04</t>
        </is>
      </c>
      <c r="B13" t="inlineStr">
        <is>
          <t>Home Loan</t>
        </is>
      </c>
      <c r="C13" t="n">
        <v>9</v>
      </c>
      <c r="D13" t="n">
        <v>1460000</v>
      </c>
      <c r="E13" t="n">
        <v>1</v>
      </c>
      <c r="F13">
        <f>E13/C13*100</f>
        <v/>
      </c>
    </row>
    <row r="14">
      <c r="A14" t="inlineStr">
        <is>
          <t>2026-05</t>
        </is>
      </c>
      <c r="B14" t="inlineStr">
        <is>
          <t>Personal Loan</t>
        </is>
      </c>
      <c r="C14" t="n">
        <v>25</v>
      </c>
      <c r="D14" t="n">
        <v>2835000</v>
      </c>
      <c r="E14" t="n">
        <v>2</v>
      </c>
      <c r="F14">
        <f>E14/C14*100</f>
        <v/>
      </c>
    </row>
    <row r="15">
      <c r="A15" t="inlineStr">
        <is>
          <t>2026-05</t>
        </is>
      </c>
      <c r="B15" t="inlineStr">
        <is>
          <t>Business Loan</t>
        </is>
      </c>
      <c r="C15" t="n">
        <v>15</v>
      </c>
      <c r="D15" t="n">
        <v>2227500</v>
      </c>
      <c r="E15" t="n">
        <v>1</v>
      </c>
      <c r="F15">
        <f>E15/C15*100</f>
        <v/>
      </c>
    </row>
    <row r="16">
      <c r="A16" t="inlineStr">
        <is>
          <t>2026-05</t>
        </is>
      </c>
      <c r="B16" t="inlineStr">
        <is>
          <t>Home Loan</t>
        </is>
      </c>
      <c r="C16" t="n">
        <v>10</v>
      </c>
      <c r="D16" t="n">
        <v>1687500</v>
      </c>
      <c r="E16" t="n">
        <v>1</v>
      </c>
      <c r="F16">
        <f>E16/C16*100</f>
        <v/>
      </c>
    </row>
    <row r="17">
      <c r="A17" t="inlineStr">
        <is>
          <t>2026-06</t>
        </is>
      </c>
      <c r="B17" t="inlineStr">
        <is>
          <t>Personal Loan</t>
        </is>
      </c>
      <c r="C17" t="n">
        <v>26</v>
      </c>
      <c r="D17" t="n">
        <v>3028200</v>
      </c>
      <c r="E17" t="n">
        <v>3</v>
      </c>
      <c r="F17">
        <f>E17/C17*100</f>
        <v/>
      </c>
    </row>
    <row r="18">
      <c r="A18" t="inlineStr">
        <is>
          <t>2026-06</t>
        </is>
      </c>
      <c r="B18" t="inlineStr">
        <is>
          <t>Business Loan</t>
        </is>
      </c>
      <c r="C18" t="n">
        <v>16</v>
      </c>
      <c r="D18" t="n">
        <v>2379300</v>
      </c>
      <c r="E18" t="n">
        <v>1</v>
      </c>
      <c r="F18">
        <f>E18/C18*100</f>
        <v/>
      </c>
    </row>
    <row r="19">
      <c r="A19" t="inlineStr">
        <is>
          <t>2026-06</t>
        </is>
      </c>
      <c r="B19" t="inlineStr">
        <is>
          <t>Home Loan</t>
        </is>
      </c>
      <c r="C19" t="n">
        <v>11</v>
      </c>
      <c r="D19" t="n">
        <v>1802500</v>
      </c>
      <c r="E19" t="n">
        <v>1</v>
      </c>
      <c r="F19">
        <f>E19/C19*100</f>
        <v/>
      </c>
    </row>
    <row r="20">
      <c r="A20" t="inlineStr">
        <is>
          <t>2026-07</t>
        </is>
      </c>
      <c r="B20" t="inlineStr">
        <is>
          <t>Personal Loan</t>
        </is>
      </c>
      <c r="C20" t="n">
        <v>28</v>
      </c>
      <c r="D20" t="n">
        <v>3225600</v>
      </c>
      <c r="E20" t="n">
        <v>3</v>
      </c>
      <c r="F20">
        <f>E20/C20*100</f>
        <v/>
      </c>
    </row>
    <row r="21">
      <c r="A21" t="inlineStr">
        <is>
          <t>2026-07</t>
        </is>
      </c>
      <c r="B21" t="inlineStr">
        <is>
          <t>Business Loan</t>
        </is>
      </c>
      <c r="C21" t="n">
        <v>16</v>
      </c>
      <c r="D21" t="n">
        <v>2534400</v>
      </c>
      <c r="E21" t="n">
        <v>1</v>
      </c>
      <c r="F21">
        <f>E21/C21*100</f>
        <v/>
      </c>
    </row>
    <row r="22">
      <c r="A22" t="inlineStr">
        <is>
          <t>2026-07</t>
        </is>
      </c>
      <c r="B22" t="inlineStr">
        <is>
          <t>Home Loan</t>
        </is>
      </c>
      <c r="C22" t="n">
        <v>11</v>
      </c>
      <c r="D22" t="n">
        <v>1920000</v>
      </c>
      <c r="E22" t="n">
        <v>1</v>
      </c>
      <c r="F22">
        <f>E22/C22*100</f>
        <v/>
      </c>
    </row>
    <row r="23">
      <c r="A23" t="inlineStr">
        <is>
          <t>2026-08</t>
        </is>
      </c>
      <c r="B23" t="inlineStr">
        <is>
          <t>Personal Loan</t>
        </is>
      </c>
      <c r="C23" t="n">
        <v>26</v>
      </c>
      <c r="D23" t="n">
        <v>3087000</v>
      </c>
      <c r="E23" t="n">
        <v>2</v>
      </c>
      <c r="F23">
        <f>E23/C23*100</f>
        <v/>
      </c>
    </row>
    <row r="24">
      <c r="A24" t="inlineStr">
        <is>
          <t>2026-08</t>
        </is>
      </c>
      <c r="B24" t="inlineStr">
        <is>
          <t>Business Loan</t>
        </is>
      </c>
      <c r="C24" t="n">
        <v>16</v>
      </c>
      <c r="D24" t="n">
        <v>2425500</v>
      </c>
      <c r="E24" t="n">
        <v>1</v>
      </c>
      <c r="F24">
        <f>E24/C24*100</f>
        <v/>
      </c>
    </row>
    <row r="25">
      <c r="A25" t="inlineStr">
        <is>
          <t>2026-08</t>
        </is>
      </c>
      <c r="B25" t="inlineStr">
        <is>
          <t>Home Loan</t>
        </is>
      </c>
      <c r="C25" t="n">
        <v>10</v>
      </c>
      <c r="D25" t="n">
        <v>1837500</v>
      </c>
      <c r="E25" t="n">
        <v>1</v>
      </c>
      <c r="F25">
        <f>E25/C25*100</f>
        <v/>
      </c>
    </row>
    <row r="26">
      <c r="A26" t="inlineStr">
        <is>
          <t>2026-09</t>
        </is>
      </c>
      <c r="B26" t="inlineStr">
        <is>
          <t>Personal Loan</t>
        </is>
      </c>
      <c r="C26" t="n">
        <v>29</v>
      </c>
      <c r="D26" t="n">
        <v>3410400</v>
      </c>
      <c r="E26" t="n">
        <v>4</v>
      </c>
      <c r="F26">
        <f>E26/C26*100</f>
        <v/>
      </c>
    </row>
    <row r="27">
      <c r="A27" t="inlineStr">
        <is>
          <t>2026-09</t>
        </is>
      </c>
      <c r="B27" t="inlineStr">
        <is>
          <t>Business Loan</t>
        </is>
      </c>
      <c r="C27" t="n">
        <v>17</v>
      </c>
      <c r="D27" t="n">
        <v>2679600</v>
      </c>
      <c r="E27" t="n">
        <v>2</v>
      </c>
      <c r="F27">
        <f>E27/C27*100</f>
        <v/>
      </c>
    </row>
    <row r="28">
      <c r="A28" t="inlineStr">
        <is>
          <t>2026-09</t>
        </is>
      </c>
      <c r="B28" t="inlineStr">
        <is>
          <t>Home Loan</t>
        </is>
      </c>
      <c r="C28" t="n">
        <v>12</v>
      </c>
      <c r="D28" t="n">
        <v>2030000</v>
      </c>
      <c r="E28" t="n">
        <v>0</v>
      </c>
      <c r="F28">
        <f>E28/C28*100</f>
        <v/>
      </c>
    </row>
    <row r="29">
      <c r="A29" t="inlineStr">
        <is>
          <t>2026-10</t>
        </is>
      </c>
      <c r="B29" t="inlineStr">
        <is>
          <t>Personal Loan</t>
        </is>
      </c>
      <c r="C29" t="n">
        <v>30</v>
      </c>
      <c r="D29" t="n">
        <v>3595200</v>
      </c>
      <c r="E29" t="n">
        <v>4</v>
      </c>
      <c r="F29">
        <f>E29/C29*100</f>
        <v/>
      </c>
    </row>
    <row r="30">
      <c r="A30" t="inlineStr">
        <is>
          <t>2026-10</t>
        </is>
      </c>
      <c r="B30" t="inlineStr">
        <is>
          <t>Business Loan</t>
        </is>
      </c>
      <c r="C30" t="n">
        <v>18</v>
      </c>
      <c r="D30" t="n">
        <v>2824800</v>
      </c>
      <c r="E30" t="n">
        <v>2</v>
      </c>
      <c r="F30">
        <f>E30/C30*100</f>
        <v/>
      </c>
    </row>
    <row r="31">
      <c r="A31" t="inlineStr">
        <is>
          <t>2026-10</t>
        </is>
      </c>
      <c r="B31" t="inlineStr">
        <is>
          <t>Home Loan</t>
        </is>
      </c>
      <c r="C31" t="n">
        <v>13</v>
      </c>
      <c r="D31" t="n">
        <v>2140000</v>
      </c>
      <c r="E31" t="n">
        <v>0</v>
      </c>
      <c r="F31">
        <f>E31/C31*100</f>
        <v/>
      </c>
    </row>
    <row r="32">
      <c r="A32" t="inlineStr">
        <is>
          <t>2026-11</t>
        </is>
      </c>
      <c r="B32" t="inlineStr">
        <is>
          <t>Personal Loan</t>
        </is>
      </c>
      <c r="C32" t="n">
        <v>30</v>
      </c>
      <c r="D32" t="n">
        <v>3448200</v>
      </c>
      <c r="E32" t="n">
        <v>3</v>
      </c>
      <c r="F32">
        <f>E32/C32*100</f>
        <v/>
      </c>
    </row>
    <row r="33">
      <c r="A33" t="inlineStr">
        <is>
          <t>2026-11</t>
        </is>
      </c>
      <c r="B33" t="inlineStr">
        <is>
          <t>Business Loan</t>
        </is>
      </c>
      <c r="C33" t="n">
        <v>18</v>
      </c>
      <c r="D33" t="n">
        <v>2709300</v>
      </c>
      <c r="E33" t="n">
        <v>1</v>
      </c>
      <c r="F33">
        <f>E33/C33*100</f>
        <v/>
      </c>
    </row>
    <row r="34">
      <c r="A34" t="inlineStr">
        <is>
          <t>2026-11</t>
        </is>
      </c>
      <c r="B34" t="inlineStr">
        <is>
          <t>Home Loan</t>
        </is>
      </c>
      <c r="C34" t="n">
        <v>11</v>
      </c>
      <c r="D34" t="n">
        <v>2052500</v>
      </c>
      <c r="E34" t="n">
        <v>1</v>
      </c>
      <c r="F34">
        <f>E34/C34*100</f>
        <v/>
      </c>
    </row>
    <row r="35">
      <c r="A35" t="inlineStr">
        <is>
          <t>2026-12</t>
        </is>
      </c>
      <c r="B35" t="inlineStr">
        <is>
          <t>Personal Loan</t>
        </is>
      </c>
      <c r="C35" t="n">
        <v>32</v>
      </c>
      <c r="D35" t="n">
        <v>3801000</v>
      </c>
      <c r="E35" t="n">
        <v>4</v>
      </c>
      <c r="F35">
        <f>E35/C35*100</f>
        <v/>
      </c>
    </row>
    <row r="36">
      <c r="A36" t="inlineStr">
        <is>
          <t>2026-12</t>
        </is>
      </c>
      <c r="B36" t="inlineStr">
        <is>
          <t>Business Loan</t>
        </is>
      </c>
      <c r="C36" t="n">
        <v>19</v>
      </c>
      <c r="D36" t="n">
        <v>2986500</v>
      </c>
      <c r="E36" t="n">
        <v>2</v>
      </c>
      <c r="F36">
        <f>E36/C36*100</f>
        <v/>
      </c>
    </row>
    <row r="37">
      <c r="A37" t="inlineStr">
        <is>
          <t>2026-12</t>
        </is>
      </c>
      <c r="B37" t="inlineStr">
        <is>
          <t>Home Loan</t>
        </is>
      </c>
      <c r="C37" t="n">
        <v>13</v>
      </c>
      <c r="D37" t="n">
        <v>2262500</v>
      </c>
      <c r="E37" t="n">
        <v>1</v>
      </c>
      <c r="F37">
        <f>E37/C37*100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20" customWidth="1" min="5" max="5"/>
    <col width="18" customWidth="1" min="6" max="6"/>
  </cols>
  <sheetData>
    <row r="1">
      <c r="A1" s="1" t="inlineStr">
        <is>
          <t>Month</t>
        </is>
      </c>
      <c r="B1" s="1" t="inlineStr">
        <is>
          <t>Default</t>
        </is>
      </c>
      <c r="C1" s="1" t="inlineStr">
        <is>
          <t>Non-Default</t>
        </is>
      </c>
      <c r="D1" s="1" t="inlineStr">
        <is>
          <t>High Risk</t>
        </is>
      </c>
      <c r="E1" s="1" t="inlineStr">
        <is>
          <t>Not High Risk</t>
        </is>
      </c>
      <c r="F1" s="1" t="inlineStr">
        <is>
          <t>Total Records</t>
        </is>
      </c>
    </row>
    <row r="2">
      <c r="A2">
        <f>'Monthly_KPIs'!A2</f>
        <v/>
      </c>
      <c r="B2">
        <f>'Monthly_KPIs'!D2</f>
        <v/>
      </c>
      <c r="C2">
        <f>'Monthly_KPIs'!B2-'Monthly_KPIs'!D2</f>
        <v/>
      </c>
      <c r="D2">
        <f>'Monthly_KPIs'!H2</f>
        <v/>
      </c>
      <c r="E2">
        <f>'Monthly_KPIs'!B2-'Monthly_KPIs'!H2</f>
        <v/>
      </c>
      <c r="F2">
        <f>'Monthly_KPIs'!B2</f>
        <v/>
      </c>
    </row>
    <row r="3">
      <c r="A3">
        <f>'Monthly_KPIs'!A3</f>
        <v/>
      </c>
      <c r="B3">
        <f>'Monthly_KPIs'!D3</f>
        <v/>
      </c>
      <c r="C3">
        <f>'Monthly_KPIs'!B3-'Monthly_KPIs'!D3</f>
        <v/>
      </c>
      <c r="D3">
        <f>'Monthly_KPIs'!H3</f>
        <v/>
      </c>
      <c r="E3">
        <f>'Monthly_KPIs'!B3-'Monthly_KPIs'!H3</f>
        <v/>
      </c>
      <c r="F3">
        <f>'Monthly_KPIs'!B3</f>
        <v/>
      </c>
    </row>
    <row r="4">
      <c r="A4">
        <f>'Monthly_KPIs'!A4</f>
        <v/>
      </c>
      <c r="B4">
        <f>'Monthly_KPIs'!D4</f>
        <v/>
      </c>
      <c r="C4">
        <f>'Monthly_KPIs'!B4-'Monthly_KPIs'!D4</f>
        <v/>
      </c>
      <c r="D4">
        <f>'Monthly_KPIs'!H4</f>
        <v/>
      </c>
      <c r="E4">
        <f>'Monthly_KPIs'!B4-'Monthly_KPIs'!H4</f>
        <v/>
      </c>
      <c r="F4">
        <f>'Monthly_KPIs'!B4</f>
        <v/>
      </c>
    </row>
    <row r="5">
      <c r="A5">
        <f>'Monthly_KPIs'!A5</f>
        <v/>
      </c>
      <c r="B5">
        <f>'Monthly_KPIs'!D5</f>
        <v/>
      </c>
      <c r="C5">
        <f>'Monthly_KPIs'!B5-'Monthly_KPIs'!D5</f>
        <v/>
      </c>
      <c r="D5">
        <f>'Monthly_KPIs'!H5</f>
        <v/>
      </c>
      <c r="E5">
        <f>'Monthly_KPIs'!B5-'Monthly_KPIs'!H5</f>
        <v/>
      </c>
      <c r="F5">
        <f>'Monthly_KPIs'!B5</f>
        <v/>
      </c>
    </row>
    <row r="6">
      <c r="A6">
        <f>'Monthly_KPIs'!A6</f>
        <v/>
      </c>
      <c r="B6">
        <f>'Monthly_KPIs'!D6</f>
        <v/>
      </c>
      <c r="C6">
        <f>'Monthly_KPIs'!B6-'Monthly_KPIs'!D6</f>
        <v/>
      </c>
      <c r="D6">
        <f>'Monthly_KPIs'!H6</f>
        <v/>
      </c>
      <c r="E6">
        <f>'Monthly_KPIs'!B6-'Monthly_KPIs'!H6</f>
        <v/>
      </c>
      <c r="F6">
        <f>'Monthly_KPIs'!B6</f>
        <v/>
      </c>
    </row>
    <row r="7">
      <c r="A7">
        <f>'Monthly_KPIs'!A7</f>
        <v/>
      </c>
      <c r="B7">
        <f>'Monthly_KPIs'!D7</f>
        <v/>
      </c>
      <c r="C7">
        <f>'Monthly_KPIs'!B7-'Monthly_KPIs'!D7</f>
        <v/>
      </c>
      <c r="D7">
        <f>'Monthly_KPIs'!H7</f>
        <v/>
      </c>
      <c r="E7">
        <f>'Monthly_KPIs'!B7-'Monthly_KPIs'!H7</f>
        <v/>
      </c>
      <c r="F7">
        <f>'Monthly_KPIs'!B7</f>
        <v/>
      </c>
    </row>
    <row r="8">
      <c r="A8">
        <f>'Monthly_KPIs'!A8</f>
        <v/>
      </c>
      <c r="B8">
        <f>'Monthly_KPIs'!D8</f>
        <v/>
      </c>
      <c r="C8">
        <f>'Monthly_KPIs'!B8-'Monthly_KPIs'!D8</f>
        <v/>
      </c>
      <c r="D8">
        <f>'Monthly_KPIs'!H8</f>
        <v/>
      </c>
      <c r="E8">
        <f>'Monthly_KPIs'!B8-'Monthly_KPIs'!H8</f>
        <v/>
      </c>
      <c r="F8">
        <f>'Monthly_KPIs'!B8</f>
        <v/>
      </c>
    </row>
    <row r="9">
      <c r="A9">
        <f>'Monthly_KPIs'!A9</f>
        <v/>
      </c>
      <c r="B9">
        <f>'Monthly_KPIs'!D9</f>
        <v/>
      </c>
      <c r="C9">
        <f>'Monthly_KPIs'!B9-'Monthly_KPIs'!D9</f>
        <v/>
      </c>
      <c r="D9">
        <f>'Monthly_KPIs'!H9</f>
        <v/>
      </c>
      <c r="E9">
        <f>'Monthly_KPIs'!B9-'Monthly_KPIs'!H9</f>
        <v/>
      </c>
      <c r="F9">
        <f>'Monthly_KPIs'!B9</f>
        <v/>
      </c>
    </row>
    <row r="10">
      <c r="A10">
        <f>'Monthly_KPIs'!A10</f>
        <v/>
      </c>
      <c r="B10">
        <f>'Monthly_KPIs'!D10</f>
        <v/>
      </c>
      <c r="C10">
        <f>'Monthly_KPIs'!B10-'Monthly_KPIs'!D10</f>
        <v/>
      </c>
      <c r="D10">
        <f>'Monthly_KPIs'!H10</f>
        <v/>
      </c>
      <c r="E10">
        <f>'Monthly_KPIs'!B10-'Monthly_KPIs'!H10</f>
        <v/>
      </c>
      <c r="F10">
        <f>'Monthly_KPIs'!B10</f>
        <v/>
      </c>
    </row>
    <row r="11">
      <c r="A11">
        <f>'Monthly_KPIs'!A11</f>
        <v/>
      </c>
      <c r="B11">
        <f>'Monthly_KPIs'!D11</f>
        <v/>
      </c>
      <c r="C11">
        <f>'Monthly_KPIs'!B11-'Monthly_KPIs'!D11</f>
        <v/>
      </c>
      <c r="D11">
        <f>'Monthly_KPIs'!H11</f>
        <v/>
      </c>
      <c r="E11">
        <f>'Monthly_KPIs'!B11-'Monthly_KPIs'!H11</f>
        <v/>
      </c>
      <c r="F11">
        <f>'Monthly_KPIs'!B11</f>
        <v/>
      </c>
    </row>
    <row r="12">
      <c r="A12">
        <f>'Monthly_KPIs'!A12</f>
        <v/>
      </c>
      <c r="B12">
        <f>'Monthly_KPIs'!D12</f>
        <v/>
      </c>
      <c r="C12">
        <f>'Monthly_KPIs'!B12-'Monthly_KPIs'!D12</f>
        <v/>
      </c>
      <c r="D12">
        <f>'Monthly_KPIs'!H12</f>
        <v/>
      </c>
      <c r="E12">
        <f>'Monthly_KPIs'!B12-'Monthly_KPIs'!H12</f>
        <v/>
      </c>
      <c r="F12">
        <f>'Monthly_KPIs'!B12</f>
        <v/>
      </c>
    </row>
    <row r="13">
      <c r="A13">
        <f>'Monthly_KPIs'!A13</f>
        <v/>
      </c>
      <c r="B13">
        <f>'Monthly_KPIs'!D13</f>
        <v/>
      </c>
      <c r="C13">
        <f>'Monthly_KPIs'!B13-'Monthly_KPIs'!D13</f>
        <v/>
      </c>
      <c r="D13">
        <f>'Monthly_KPIs'!H13</f>
        <v/>
      </c>
      <c r="E13">
        <f>'Monthly_KPIs'!B13-'Monthly_KPIs'!H13</f>
        <v/>
      </c>
      <c r="F13">
        <f>'Monthly_KPIs'!B13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Dataset Type</t>
        </is>
      </c>
      <c r="B2" t="inlineStr">
        <is>
          <t>Synthetic educational monthly trend data</t>
        </is>
      </c>
    </row>
    <row r="3">
      <c r="A3" t="inlineStr">
        <is>
          <t>Unit of Analysis</t>
        </is>
      </c>
      <c r="B3" t="inlineStr">
        <is>
          <t>One monthly summary record</t>
        </is>
      </c>
    </row>
    <row r="4">
      <c r="A4" t="inlineStr">
        <is>
          <t>Purpose</t>
        </is>
      </c>
      <c r="B4" t="inlineStr">
        <is>
          <t>Practice monthly credit-risk trend analysis</t>
        </is>
      </c>
    </row>
    <row r="5">
      <c r="A5" t="inlineStr">
        <is>
          <t>Month</t>
        </is>
      </c>
      <c r="B5" t="inlineStr">
        <is>
          <t>Monthly period</t>
        </is>
      </c>
    </row>
    <row r="6">
      <c r="A6" t="inlineStr">
        <is>
          <t>Customers</t>
        </is>
      </c>
      <c r="B6" t="inlineStr">
        <is>
          <t>Customer-loan records represented in the month</t>
        </is>
      </c>
    </row>
    <row r="7">
      <c r="A7" t="inlineStr">
        <is>
          <t>Loan_Exposure_Rupee</t>
        </is>
      </c>
      <c r="B7" t="inlineStr">
        <is>
          <t>Total loan exposure represented in the month</t>
        </is>
      </c>
    </row>
    <row r="8">
      <c r="A8" t="inlineStr">
        <is>
          <t>Defaults</t>
        </is>
      </c>
      <c r="B8" t="inlineStr">
        <is>
          <t>Number of default records</t>
        </is>
      </c>
    </row>
    <row r="9">
      <c r="A9" t="inlineStr">
        <is>
          <t>Average_Credit_Score</t>
        </is>
      </c>
      <c r="B9" t="inlineStr">
        <is>
          <t>Average observed credit score</t>
        </is>
      </c>
    </row>
    <row r="10">
      <c r="A10" t="inlineStr">
        <is>
          <t>Average_DTI_%</t>
        </is>
      </c>
      <c r="B10" t="inlineStr">
        <is>
          <t>Average debt-to-income percentage</t>
        </is>
      </c>
    </row>
    <row r="11">
      <c r="A11" t="inlineStr">
        <is>
          <t>High_Risk_Customers</t>
        </is>
      </c>
      <c r="B11" t="inlineStr">
        <is>
          <t>Number of records marked high risk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1" t="inlineStr">
        <is>
          <t>No.</t>
        </is>
      </c>
      <c r="B1" s="1" t="inlineStr">
        <is>
          <t>Question</t>
        </is>
      </c>
    </row>
    <row r="2">
      <c r="A2" t="n">
        <v>1</v>
      </c>
      <c r="B2" t="inlineStr">
        <is>
          <t>What is the earliest month?</t>
        </is>
      </c>
    </row>
    <row r="3">
      <c r="A3" t="n">
        <v>2</v>
      </c>
      <c r="B3" t="inlineStr">
        <is>
          <t>What is the latest month?</t>
        </is>
      </c>
    </row>
    <row r="4">
      <c r="A4" t="n">
        <v>3</v>
      </c>
      <c r="B4" t="inlineStr">
        <is>
          <t>Which month has the highest customer volume?</t>
        </is>
      </c>
    </row>
    <row r="5">
      <c r="A5" t="n">
        <v>4</v>
      </c>
      <c r="B5" t="inlineStr">
        <is>
          <t>Which month has the highest loan exposure?</t>
        </is>
      </c>
    </row>
    <row r="6">
      <c r="A6" t="n">
        <v>5</v>
      </c>
      <c r="B6" t="inlineStr">
        <is>
          <t>Which month has the highest default count?</t>
        </is>
      </c>
    </row>
    <row r="7">
      <c r="A7" t="n">
        <v>6</v>
      </c>
      <c r="B7" t="inlineStr">
        <is>
          <t>Which month has the highest default rate?</t>
        </is>
      </c>
    </row>
    <row r="8">
      <c r="A8" t="n">
        <v>7</v>
      </c>
      <c r="B8" t="inlineStr">
        <is>
          <t>How does average credit score change across the period?</t>
        </is>
      </c>
    </row>
    <row r="9">
      <c r="A9" t="n">
        <v>8</v>
      </c>
      <c r="B9" t="inlineStr">
        <is>
          <t>How does average DTI change across the period?</t>
        </is>
      </c>
    </row>
    <row r="10">
      <c r="A10" t="n">
        <v>9</v>
      </c>
      <c r="B10" t="inlineStr">
        <is>
          <t>How does high-risk share change across the period?</t>
        </is>
      </c>
    </row>
    <row r="11">
      <c r="A11" t="n">
        <v>10</v>
      </c>
      <c r="B11" t="inlineStr">
        <is>
          <t>Why should default count and default rate be reviewed together?</t>
        </is>
      </c>
    </row>
    <row r="12">
      <c r="A12" t="n">
        <v>11</v>
      </c>
      <c r="B12" t="inlineStr">
        <is>
          <t>Why is loan exposure different from customer count?</t>
        </is>
      </c>
    </row>
    <row r="13">
      <c r="A13" t="n">
        <v>12</v>
      </c>
      <c r="B13" t="inlineStr">
        <is>
          <t>What additional business context would help explain a trend?</t>
        </is>
      </c>
    </row>
    <row r="14">
      <c r="A14" t="n">
        <v>13</v>
      </c>
      <c r="B14" t="inlineStr">
        <is>
          <t>Why should one unusual month be investigated before drawing a conclusion?</t>
        </is>
      </c>
    </row>
    <row r="15">
      <c r="A15" t="n">
        <v>14</v>
      </c>
      <c r="B15" t="inlineStr">
        <is>
          <t>Why is this workbook not suitable for real lending decisions?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Day 086 — Credit Risk Monthly Trends Dashboard</t>
        </is>
      </c>
    </row>
    <row r="2">
      <c r="A2" s="3" t="inlineStr">
        <is>
          <t>Synthetic educational data — descriptive trend analysis only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75" customWidth="1" min="3" max="3"/>
  </cols>
  <sheetData>
    <row r="1">
      <c r="A1" s="1" t="inlineStr">
        <is>
          <t>Metric</t>
        </is>
      </c>
      <c r="B1" s="1" t="inlineStr">
        <is>
          <t>Business Question</t>
        </is>
      </c>
      <c r="C1" s="1" t="inlineStr">
        <is>
          <t>Interpretation Reminder</t>
        </is>
      </c>
    </row>
    <row r="2">
      <c r="A2" t="inlineStr">
        <is>
          <t>Customers</t>
        </is>
      </c>
      <c r="B2" t="inlineStr">
        <is>
          <t>How much monthly volume is represented?</t>
        </is>
      </c>
      <c r="C2" t="inlineStr">
        <is>
          <t>Volume does not directly measure risk.</t>
        </is>
      </c>
    </row>
    <row r="3">
      <c r="A3" t="inlineStr">
        <is>
          <t>Loan Exposure</t>
        </is>
      </c>
      <c r="B3" t="inlineStr">
        <is>
          <t>How much credit is represented?</t>
        </is>
      </c>
      <c r="C3" t="inlineStr">
        <is>
          <t>Exposure is different from customer count.</t>
        </is>
      </c>
    </row>
    <row r="4">
      <c r="A4" t="inlineStr">
        <is>
          <t>Defaults</t>
        </is>
      </c>
      <c r="B4" t="inlineStr">
        <is>
          <t>How many records are marked default?</t>
        </is>
      </c>
      <c r="C4" t="inlineStr">
        <is>
          <t>Review with denominator.</t>
        </is>
      </c>
    </row>
    <row r="5">
      <c r="A5" t="inlineStr">
        <is>
          <t>Default Rate</t>
        </is>
      </c>
      <c r="B5" t="inlineStr">
        <is>
          <t>What share of records are defaults?</t>
        </is>
      </c>
      <c r="C5" t="inlineStr">
        <is>
          <t>Rate requires a denominator.</t>
        </is>
      </c>
    </row>
    <row r="6">
      <c r="A6" t="inlineStr">
        <is>
          <t>Average Credit Score</t>
        </is>
      </c>
      <c r="B6" t="inlineStr">
        <is>
          <t>What is the average score?</t>
        </is>
      </c>
      <c r="C6" t="inlineStr">
        <is>
          <t>Average does not show full distribution.</t>
        </is>
      </c>
    </row>
    <row r="7">
      <c r="A7" t="inlineStr">
        <is>
          <t>Average DTI</t>
        </is>
      </c>
      <c r="B7" t="inlineStr">
        <is>
          <t>What is the average debt burden?</t>
        </is>
      </c>
      <c r="C7" t="inlineStr">
        <is>
          <t>DTI is one risk-related variable.</t>
        </is>
      </c>
    </row>
    <row r="8">
      <c r="A8" t="inlineStr">
        <is>
          <t>High-Risk Share</t>
        </is>
      </c>
      <c r="B8" t="inlineStr">
        <is>
          <t>What share is marked high risk?</t>
        </is>
      </c>
      <c r="C8" t="inlineStr">
        <is>
          <t>High-risk flag is an indicator, not an explanation.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2026-09-17T07:31:55Z</dcterms:created>
  <dcterms:modified xmlns:dcterms="http://purl.org/dc/terms/" xmlns:xsi="http://www.w3.org/2001/XMLSchema-instance" xsi:type="dcterms:W3CDTF">2026-09-17T07:31:55Z</dcterms:modified>
</cp:coreProperties>
</file>