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tions" sheetId="1" state="visible" r:id="rId1"/>
    <sheet xmlns:r="http://schemas.openxmlformats.org/officeDocument/2006/relationships" name="Management_Data" sheetId="2" state="visible" r:id="rId2"/>
    <sheet xmlns:r="http://schemas.openxmlformats.org/officeDocument/2006/relationships" name="Management_KPIs" sheetId="3" state="visible" r:id="rId3"/>
    <sheet xmlns:r="http://schemas.openxmlformats.org/officeDocument/2006/relationships" name="Function_Summary" sheetId="4" state="visible" r:id="rId4"/>
    <sheet xmlns:r="http://schemas.openxmlformats.org/officeDocument/2006/relationships" name="Management_Cycle" sheetId="5" state="visible" r:id="rId5"/>
    <sheet xmlns:r="http://schemas.openxmlformats.org/officeDocument/2006/relationships" name="Analysis_Questions" sheetId="6" state="visible" r:id="rId6"/>
    <sheet xmlns:r="http://schemas.openxmlformats.org/officeDocument/2006/relationships" name="Business_Insights" sheetId="7" state="visible" r:id="rId7"/>
    <sheet xmlns:r="http://schemas.openxmlformats.org/officeDocument/2006/relationships" name="Management_Dashboard" sheetId="8" state="visible" r:id="rId8"/>
  </sheets>
  <definedNames>
    <definedName name="_xlnm._FilterDatabase" localSheetId="1" hidden="1">'Management_Data'!$A$3:$L$27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Actual Performance by Business Function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'Management_Dashboard'!K2</f>
            </strRef>
          </tx>
          <spPr>
            <a:ln xmlns:a="http://schemas.openxmlformats.org/drawingml/2006/main">
              <a:prstDash val="solid"/>
            </a:ln>
          </spPr>
          <cat>
            <numRef>
              <f>'Management_Dashboard'!$J$3:$J$6</f>
            </numRef>
          </cat>
          <val>
            <numRef>
              <f>'Management_Dashboard'!$K$3:$K$6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Business Function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Actual (Rupee)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12</row>
      <rowOff>0</rowOff>
    </from>
    <ext cx="5040000" cy="28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8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25" customWidth="1" min="1" max="1"/>
    <col width="100" customWidth="1" min="2" max="2"/>
  </cols>
  <sheetData>
    <row r="1">
      <c r="A1" s="1" t="inlineStr">
        <is>
          <t>Day 089 — W12 L2 — How Businesses are Managed</t>
        </is>
      </c>
    </row>
    <row r="2">
      <c r="A2" t="inlineStr">
        <is>
          <t>Author</t>
        </is>
      </c>
      <c r="B2" t="inlineStr">
        <is>
          <t>Saloni Tiwari</t>
        </is>
      </c>
    </row>
    <row r="3">
      <c r="A3" t="inlineStr">
        <is>
          <t>Programme</t>
        </is>
      </c>
      <c r="B3" t="inlineStr">
        <is>
          <t>IIT Madras BS Degree — Diploma Level</t>
        </is>
      </c>
    </row>
    <row r="4">
      <c r="A4" t="inlineStr">
        <is>
          <t>Day</t>
        </is>
      </c>
      <c r="B4" t="inlineStr">
        <is>
          <t>089</t>
        </is>
      </c>
    </row>
    <row r="5">
      <c r="A5" t="inlineStr">
        <is>
          <t>Topic</t>
        </is>
      </c>
      <c r="B5" t="inlineStr">
        <is>
          <t>How Businesses are Managed</t>
        </is>
      </c>
    </row>
    <row r="7">
      <c r="A7" t="inlineStr">
        <is>
          <t>Purpose</t>
        </is>
      </c>
      <c r="B7" t="inlineStr">
        <is>
          <t>Educational synthetic dataset for understanding management activities, targets, KPIs, teams, budgets, and business decisions.</t>
        </is>
      </c>
    </row>
    <row r="8">
      <c r="A8" t="inlineStr">
        <is>
          <t>Management Cycle</t>
        </is>
      </c>
      <c r="B8" t="inlineStr">
        <is>
          <t>Plan → Organise → Lead → Monitor → Review → Improve</t>
        </is>
      </c>
    </row>
    <row r="9">
      <c r="A9" t="inlineStr">
        <is>
          <t>Important</t>
        </is>
      </c>
      <c r="B9" t="inlineStr">
        <is>
          <t>Values in this workbook are synthetic and intended for learning business analytics techniques.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6" customWidth="1" min="3" max="3"/>
    <col width="12" customWidth="1" min="4" max="4"/>
    <col width="17" customWidth="1" min="5" max="5"/>
    <col width="17" customWidth="1" min="6" max="6"/>
    <col width="17" customWidth="1" min="7" max="7"/>
    <col width="20" customWidth="1" min="8" max="8"/>
    <col width="16" customWidth="1" min="9" max="9"/>
    <col width="18" customWidth="1" min="10" max="10"/>
    <col width="17" customWidth="1" min="11" max="11"/>
    <col width="24" customWidth="1" min="12" max="12"/>
  </cols>
  <sheetData>
    <row r="1">
      <c r="A1" s="2" t="inlineStr">
        <is>
          <t>Day 089 — Business Management Dataset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</row>
    <row r="2">
      <c r="A2" s="3" t="inlineStr">
        <is>
          <t>Synthetic educational data — for learning only.</t>
        </is>
      </c>
      <c r="B2" s="3" t="n"/>
      <c r="C2" s="3" t="n"/>
      <c r="D2" s="3" t="n"/>
      <c r="E2" s="3" t="n"/>
      <c r="F2" s="3" t="n"/>
      <c r="G2" s="3" t="n"/>
      <c r="H2" s="3" t="n"/>
      <c r="I2" s="3" t="n"/>
      <c r="J2" s="3" t="n"/>
      <c r="K2" s="3" t="n"/>
      <c r="L2" s="3" t="n"/>
    </row>
    <row r="3">
      <c r="A3" s="2" t="inlineStr">
        <is>
          <t>Month</t>
        </is>
      </c>
      <c r="B3" s="2" t="inlineStr">
        <is>
          <t>Business_Function</t>
        </is>
      </c>
      <c r="C3" s="2" t="inlineStr">
        <is>
          <t>Manager</t>
        </is>
      </c>
      <c r="D3" s="2" t="inlineStr">
        <is>
          <t>Team_Size</t>
        </is>
      </c>
      <c r="E3" s="2" t="inlineStr">
        <is>
          <t>Target_Rupee</t>
        </is>
      </c>
      <c r="F3" s="2" t="inlineStr">
        <is>
          <t>Actual_Rupee</t>
        </is>
      </c>
      <c r="G3" s="2" t="inlineStr">
        <is>
          <t>Budget_Rupee</t>
        </is>
      </c>
      <c r="H3" s="2" t="inlineStr">
        <is>
          <t>Actual_Cost_Rupee</t>
        </is>
      </c>
      <c r="I3" s="2" t="inlineStr">
        <is>
          <t>Tasks_Planned</t>
        </is>
      </c>
      <c r="J3" s="2" t="inlineStr">
        <is>
          <t>Tasks_Completed</t>
        </is>
      </c>
      <c r="K3" s="2" t="inlineStr">
        <is>
          <t>Issues_Resolved</t>
        </is>
      </c>
      <c r="L3" s="2" t="inlineStr">
        <is>
          <t>Customer_Satisfaction_%</t>
        </is>
      </c>
    </row>
    <row r="4">
      <c r="A4" s="3" t="inlineStr">
        <is>
          <t>Jan-2026</t>
        </is>
      </c>
      <c r="B4" s="3" t="inlineStr">
        <is>
          <t>Sales</t>
        </is>
      </c>
      <c r="C4" s="3" t="inlineStr">
        <is>
          <t>Manager A</t>
        </is>
      </c>
      <c r="D4" s="3" t="n">
        <v>8</v>
      </c>
      <c r="E4" s="3" t="n">
        <v>1200000</v>
      </c>
      <c r="F4" s="3" t="n">
        <v>1160000</v>
      </c>
      <c r="G4" s="3" t="n">
        <v>450000</v>
      </c>
      <c r="H4" s="3" t="n">
        <v>438000</v>
      </c>
      <c r="I4" s="3" t="n">
        <v>52</v>
      </c>
      <c r="J4" s="3" t="n">
        <v>48</v>
      </c>
      <c r="K4" s="3" t="n">
        <v>36</v>
      </c>
      <c r="L4" s="3" t="n">
        <v>88</v>
      </c>
    </row>
    <row r="5">
      <c r="A5" s="3" t="inlineStr">
        <is>
          <t>Jan-2026</t>
        </is>
      </c>
      <c r="B5" s="3" t="inlineStr">
        <is>
          <t>Operations</t>
        </is>
      </c>
      <c r="C5" s="3" t="inlineStr">
        <is>
          <t>Manager B</t>
        </is>
      </c>
      <c r="D5" s="3" t="n">
        <v>14</v>
      </c>
      <c r="E5" s="3" t="n">
        <v>980000</v>
      </c>
      <c r="F5" s="3" t="n">
        <v>950000</v>
      </c>
      <c r="G5" s="3" t="n">
        <v>620000</v>
      </c>
      <c r="H5" s="3" t="n">
        <v>610000</v>
      </c>
      <c r="I5" s="3" t="n">
        <v>64</v>
      </c>
      <c r="J5" s="3" t="n">
        <v>59</v>
      </c>
      <c r="K5" s="3" t="n">
        <v>45</v>
      </c>
      <c r="L5" s="3" t="n">
        <v>86</v>
      </c>
    </row>
    <row r="6">
      <c r="A6" s="3" t="inlineStr">
        <is>
          <t>Jan-2026</t>
        </is>
      </c>
      <c r="B6" s="3" t="inlineStr">
        <is>
          <t>Marketing</t>
        </is>
      </c>
      <c r="C6" s="3" t="inlineStr">
        <is>
          <t>Manager C</t>
        </is>
      </c>
      <c r="D6" s="3" t="n">
        <v>6</v>
      </c>
      <c r="E6" s="3" t="n">
        <v>700000</v>
      </c>
      <c r="F6" s="3" t="n">
        <v>735000</v>
      </c>
      <c r="G6" s="3" t="n">
        <v>280000</v>
      </c>
      <c r="H6" s="3" t="n">
        <v>292000</v>
      </c>
      <c r="I6" s="3" t="n">
        <v>38</v>
      </c>
      <c r="J6" s="3" t="n">
        <v>35</v>
      </c>
      <c r="K6" s="3" t="n">
        <v>28</v>
      </c>
      <c r="L6" s="3" t="n">
        <v>89</v>
      </c>
    </row>
    <row r="7">
      <c r="A7" s="3" t="inlineStr">
        <is>
          <t>Jan-2026</t>
        </is>
      </c>
      <c r="B7" s="3" t="inlineStr">
        <is>
          <t>Customer Service</t>
        </is>
      </c>
      <c r="C7" s="3" t="inlineStr">
        <is>
          <t>Manager D</t>
        </is>
      </c>
      <c r="D7" s="3" t="n">
        <v>10</v>
      </c>
      <c r="E7" s="3" t="n">
        <v>500000</v>
      </c>
      <c r="F7" s="3" t="n">
        <v>485000</v>
      </c>
      <c r="G7" s="3" t="n">
        <v>240000</v>
      </c>
      <c r="H7" s="3" t="n">
        <v>231000</v>
      </c>
      <c r="I7" s="3" t="n">
        <v>46</v>
      </c>
      <c r="J7" s="3" t="n">
        <v>44</v>
      </c>
      <c r="K7" s="3" t="n">
        <v>39</v>
      </c>
      <c r="L7" s="3" t="n">
        <v>91</v>
      </c>
    </row>
    <row r="8">
      <c r="A8" s="3" t="inlineStr">
        <is>
          <t>Feb-2026</t>
        </is>
      </c>
      <c r="B8" s="3" t="inlineStr">
        <is>
          <t>Sales</t>
        </is>
      </c>
      <c r="C8" s="3" t="inlineStr">
        <is>
          <t>Manager A</t>
        </is>
      </c>
      <c r="D8" s="3" t="n">
        <v>8</v>
      </c>
      <c r="E8" s="3" t="n">
        <v>1250000</v>
      </c>
      <c r="F8" s="3" t="n">
        <v>1280000</v>
      </c>
      <c r="G8" s="3" t="n">
        <v>465000</v>
      </c>
      <c r="H8" s="3" t="n">
        <v>472000</v>
      </c>
      <c r="I8" s="3" t="n">
        <v>55</v>
      </c>
      <c r="J8" s="3" t="n">
        <v>52</v>
      </c>
      <c r="K8" s="3" t="n">
        <v>40</v>
      </c>
      <c r="L8" s="3" t="n">
        <v>89</v>
      </c>
    </row>
    <row r="9">
      <c r="A9" s="3" t="inlineStr">
        <is>
          <t>Feb-2026</t>
        </is>
      </c>
      <c r="B9" s="3" t="inlineStr">
        <is>
          <t>Operations</t>
        </is>
      </c>
      <c r="C9" s="3" t="inlineStr">
        <is>
          <t>Manager B</t>
        </is>
      </c>
      <c r="D9" s="3" t="n">
        <v>14</v>
      </c>
      <c r="E9" s="3" t="n">
        <v>1020000</v>
      </c>
      <c r="F9" s="3" t="n">
        <v>990000</v>
      </c>
      <c r="G9" s="3" t="n">
        <v>635000</v>
      </c>
      <c r="H9" s="3" t="n">
        <v>628000</v>
      </c>
      <c r="I9" s="3" t="n">
        <v>67</v>
      </c>
      <c r="J9" s="3" t="n">
        <v>63</v>
      </c>
      <c r="K9" s="3" t="n">
        <v>49</v>
      </c>
      <c r="L9" s="3" t="n">
        <v>87</v>
      </c>
    </row>
    <row r="10">
      <c r="A10" s="3" t="inlineStr">
        <is>
          <t>Feb-2026</t>
        </is>
      </c>
      <c r="B10" s="3" t="inlineStr">
        <is>
          <t>Marketing</t>
        </is>
      </c>
      <c r="C10" s="3" t="inlineStr">
        <is>
          <t>Manager C</t>
        </is>
      </c>
      <c r="D10" s="3" t="n">
        <v>6</v>
      </c>
      <c r="E10" s="3" t="n">
        <v>720000</v>
      </c>
      <c r="F10" s="3" t="n">
        <v>750000</v>
      </c>
      <c r="G10" s="3" t="n">
        <v>290000</v>
      </c>
      <c r="H10" s="3" t="n">
        <v>296000</v>
      </c>
      <c r="I10" s="3" t="n">
        <v>40</v>
      </c>
      <c r="J10" s="3" t="n">
        <v>38</v>
      </c>
      <c r="K10" s="3" t="n">
        <v>31</v>
      </c>
      <c r="L10" s="3" t="n">
        <v>90</v>
      </c>
    </row>
    <row r="11">
      <c r="A11" s="3" t="inlineStr">
        <is>
          <t>Feb-2026</t>
        </is>
      </c>
      <c r="B11" s="3" t="inlineStr">
        <is>
          <t>Customer Service</t>
        </is>
      </c>
      <c r="C11" s="3" t="inlineStr">
        <is>
          <t>Manager D</t>
        </is>
      </c>
      <c r="D11" s="3" t="n">
        <v>10</v>
      </c>
      <c r="E11" s="3" t="n">
        <v>520000</v>
      </c>
      <c r="F11" s="3" t="n">
        <v>530000</v>
      </c>
      <c r="G11" s="3" t="n">
        <v>248000</v>
      </c>
      <c r="H11" s="3" t="n">
        <v>250000</v>
      </c>
      <c r="I11" s="3" t="n">
        <v>48</v>
      </c>
      <c r="J11" s="3" t="n">
        <v>46</v>
      </c>
      <c r="K11" s="3" t="n">
        <v>41</v>
      </c>
      <c r="L11" s="3" t="n">
        <v>92</v>
      </c>
    </row>
    <row r="12">
      <c r="A12" s="3" t="inlineStr">
        <is>
          <t>Mar-2026</t>
        </is>
      </c>
      <c r="B12" s="3" t="inlineStr">
        <is>
          <t>Sales</t>
        </is>
      </c>
      <c r="C12" s="3" t="inlineStr">
        <is>
          <t>Manager A</t>
        </is>
      </c>
      <c r="D12" s="3" t="n">
        <v>9</v>
      </c>
      <c r="E12" s="3" t="n">
        <v>1300000</v>
      </c>
      <c r="F12" s="3" t="n">
        <v>1275000</v>
      </c>
      <c r="G12" s="3" t="n">
        <v>480000</v>
      </c>
      <c r="H12" s="3" t="n">
        <v>469000</v>
      </c>
      <c r="I12" s="3" t="n">
        <v>58</v>
      </c>
      <c r="J12" s="3" t="n">
        <v>54</v>
      </c>
      <c r="K12" s="3" t="n">
        <v>43</v>
      </c>
      <c r="L12" s="3" t="n">
        <v>89</v>
      </c>
    </row>
    <row r="13">
      <c r="A13" s="3" t="inlineStr">
        <is>
          <t>Mar-2026</t>
        </is>
      </c>
      <c r="B13" s="3" t="inlineStr">
        <is>
          <t>Operations</t>
        </is>
      </c>
      <c r="C13" s="3" t="inlineStr">
        <is>
          <t>Manager B</t>
        </is>
      </c>
      <c r="D13" s="3" t="n">
        <v>15</v>
      </c>
      <c r="E13" s="3" t="n">
        <v>1060000</v>
      </c>
      <c r="F13" s="3" t="n">
        <v>1085000</v>
      </c>
      <c r="G13" s="3" t="n">
        <v>650000</v>
      </c>
      <c r="H13" s="3" t="n">
        <v>657000</v>
      </c>
      <c r="I13" s="3" t="n">
        <v>70</v>
      </c>
      <c r="J13" s="3" t="n">
        <v>67</v>
      </c>
      <c r="K13" s="3" t="n">
        <v>52</v>
      </c>
      <c r="L13" s="3" t="n">
        <v>88</v>
      </c>
    </row>
    <row r="14">
      <c r="A14" s="3" t="inlineStr">
        <is>
          <t>Mar-2026</t>
        </is>
      </c>
      <c r="B14" s="3" t="inlineStr">
        <is>
          <t>Marketing</t>
        </is>
      </c>
      <c r="C14" s="3" t="inlineStr">
        <is>
          <t>Manager C</t>
        </is>
      </c>
      <c r="D14" s="3" t="n">
        <v>6</v>
      </c>
      <c r="E14" s="3" t="n">
        <v>750000</v>
      </c>
      <c r="F14" s="3" t="n">
        <v>770000</v>
      </c>
      <c r="G14" s="3" t="n">
        <v>300000</v>
      </c>
      <c r="H14" s="3" t="n">
        <v>305000</v>
      </c>
      <c r="I14" s="3" t="n">
        <v>42</v>
      </c>
      <c r="J14" s="3" t="n">
        <v>40</v>
      </c>
      <c r="K14" s="3" t="n">
        <v>33</v>
      </c>
      <c r="L14" s="3" t="n">
        <v>90</v>
      </c>
    </row>
    <row r="15">
      <c r="A15" s="3" t="inlineStr">
        <is>
          <t>Mar-2026</t>
        </is>
      </c>
      <c r="B15" s="3" t="inlineStr">
        <is>
          <t>Customer Service</t>
        </is>
      </c>
      <c r="C15" s="3" t="inlineStr">
        <is>
          <t>Manager D</t>
        </is>
      </c>
      <c r="D15" s="3" t="n">
        <v>10</v>
      </c>
      <c r="E15" s="3" t="n">
        <v>540000</v>
      </c>
      <c r="F15" s="3" t="n">
        <v>548000</v>
      </c>
      <c r="G15" s="3" t="n">
        <v>255000</v>
      </c>
      <c r="H15" s="3" t="n">
        <v>258000</v>
      </c>
      <c r="I15" s="3" t="n">
        <v>50</v>
      </c>
      <c r="J15" s="3" t="n">
        <v>48</v>
      </c>
      <c r="K15" s="3" t="n">
        <v>44</v>
      </c>
      <c r="L15" s="3" t="n">
        <v>93</v>
      </c>
    </row>
    <row r="16">
      <c r="A16" s="3" t="inlineStr">
        <is>
          <t>Apr-2026</t>
        </is>
      </c>
      <c r="B16" s="3" t="inlineStr">
        <is>
          <t>Sales</t>
        </is>
      </c>
      <c r="C16" s="3" t="inlineStr">
        <is>
          <t>Manager A</t>
        </is>
      </c>
      <c r="D16" s="3" t="n">
        <v>9</v>
      </c>
      <c r="E16" s="3" t="n">
        <v>1350000</v>
      </c>
      <c r="F16" s="3" t="n">
        <v>1390000</v>
      </c>
      <c r="G16" s="3" t="n">
        <v>495000</v>
      </c>
      <c r="H16" s="3" t="n">
        <v>502000</v>
      </c>
      <c r="I16" s="3" t="n">
        <v>60</v>
      </c>
      <c r="J16" s="3" t="n">
        <v>57</v>
      </c>
      <c r="K16" s="3" t="n">
        <v>46</v>
      </c>
      <c r="L16" s="3" t="n">
        <v>90</v>
      </c>
    </row>
    <row r="17">
      <c r="A17" s="3" t="inlineStr">
        <is>
          <t>Apr-2026</t>
        </is>
      </c>
      <c r="B17" s="3" t="inlineStr">
        <is>
          <t>Operations</t>
        </is>
      </c>
      <c r="C17" s="3" t="inlineStr">
        <is>
          <t>Manager B</t>
        </is>
      </c>
      <c r="D17" s="3" t="n">
        <v>15</v>
      </c>
      <c r="E17" s="3" t="n">
        <v>1100000</v>
      </c>
      <c r="F17" s="3" t="n">
        <v>1125000</v>
      </c>
      <c r="G17" s="3" t="n">
        <v>670000</v>
      </c>
      <c r="H17" s="3" t="n">
        <v>681000</v>
      </c>
      <c r="I17" s="3" t="n">
        <v>73</v>
      </c>
      <c r="J17" s="3" t="n">
        <v>70</v>
      </c>
      <c r="K17" s="3" t="n">
        <v>55</v>
      </c>
      <c r="L17" s="3" t="n">
        <v>88</v>
      </c>
    </row>
    <row r="18">
      <c r="A18" s="3" t="inlineStr">
        <is>
          <t>Apr-2026</t>
        </is>
      </c>
      <c r="B18" s="3" t="inlineStr">
        <is>
          <t>Marketing</t>
        </is>
      </c>
      <c r="C18" s="3" t="inlineStr">
        <is>
          <t>Manager C</t>
        </is>
      </c>
      <c r="D18" s="3" t="n">
        <v>7</v>
      </c>
      <c r="E18" s="3" t="n">
        <v>780000</v>
      </c>
      <c r="F18" s="3" t="n">
        <v>805000</v>
      </c>
      <c r="G18" s="3" t="n">
        <v>315000</v>
      </c>
      <c r="H18" s="3" t="n">
        <v>322000</v>
      </c>
      <c r="I18" s="3" t="n">
        <v>45</v>
      </c>
      <c r="J18" s="3" t="n">
        <v>43</v>
      </c>
      <c r="K18" s="3" t="n">
        <v>36</v>
      </c>
      <c r="L18" s="3" t="n">
        <v>91</v>
      </c>
    </row>
    <row r="19">
      <c r="A19" s="3" t="inlineStr">
        <is>
          <t>Apr-2026</t>
        </is>
      </c>
      <c r="B19" s="3" t="inlineStr">
        <is>
          <t>Customer Service</t>
        </is>
      </c>
      <c r="C19" s="3" t="inlineStr">
        <is>
          <t>Manager D</t>
        </is>
      </c>
      <c r="D19" s="3" t="n">
        <v>11</v>
      </c>
      <c r="E19" s="3" t="n">
        <v>560000</v>
      </c>
      <c r="F19" s="3" t="n">
        <v>570000</v>
      </c>
      <c r="G19" s="3" t="n">
        <v>265000</v>
      </c>
      <c r="H19" s="3" t="n">
        <v>269000</v>
      </c>
      <c r="I19" s="3" t="n">
        <v>52</v>
      </c>
      <c r="J19" s="3" t="n">
        <v>50</v>
      </c>
      <c r="K19" s="3" t="n">
        <v>46</v>
      </c>
      <c r="L19" s="3" t="n">
        <v>93</v>
      </c>
    </row>
    <row r="20">
      <c r="A20" s="3" t="inlineStr">
        <is>
          <t>May-2026</t>
        </is>
      </c>
      <c r="B20" s="3" t="inlineStr">
        <is>
          <t>Sales</t>
        </is>
      </c>
      <c r="C20" s="3" t="inlineStr">
        <is>
          <t>Manager A</t>
        </is>
      </c>
      <c r="D20" s="3" t="n">
        <v>9</v>
      </c>
      <c r="E20" s="3" t="n">
        <v>1400000</v>
      </c>
      <c r="F20" s="3" t="n">
        <v>1435000</v>
      </c>
      <c r="G20" s="3" t="n">
        <v>510000</v>
      </c>
      <c r="H20" s="3" t="n">
        <v>518000</v>
      </c>
      <c r="I20" s="3" t="n">
        <v>63</v>
      </c>
      <c r="J20" s="3" t="n">
        <v>60</v>
      </c>
      <c r="K20" s="3" t="n">
        <v>49</v>
      </c>
      <c r="L20" s="3" t="n">
        <v>91</v>
      </c>
    </row>
    <row r="21">
      <c r="A21" s="3" t="inlineStr">
        <is>
          <t>May-2026</t>
        </is>
      </c>
      <c r="B21" s="3" t="inlineStr">
        <is>
          <t>Operations</t>
        </is>
      </c>
      <c r="C21" s="3" t="inlineStr">
        <is>
          <t>Manager B</t>
        </is>
      </c>
      <c r="D21" s="3" t="n">
        <v>15</v>
      </c>
      <c r="E21" s="3" t="n">
        <v>1140000</v>
      </c>
      <c r="F21" s="3" t="n">
        <v>1160000</v>
      </c>
      <c r="G21" s="3" t="n">
        <v>690000</v>
      </c>
      <c r="H21" s="3" t="n">
        <v>701000</v>
      </c>
      <c r="I21" s="3" t="n">
        <v>76</v>
      </c>
      <c r="J21" s="3" t="n">
        <v>73</v>
      </c>
      <c r="K21" s="3" t="n">
        <v>58</v>
      </c>
      <c r="L21" s="3" t="n">
        <v>89</v>
      </c>
    </row>
    <row r="22">
      <c r="A22" s="3" t="inlineStr">
        <is>
          <t>May-2026</t>
        </is>
      </c>
      <c r="B22" s="3" t="inlineStr">
        <is>
          <t>Marketing</t>
        </is>
      </c>
      <c r="C22" s="3" t="inlineStr">
        <is>
          <t>Manager C</t>
        </is>
      </c>
      <c r="D22" s="3" t="n">
        <v>7</v>
      </c>
      <c r="E22" s="3" t="n">
        <v>810000</v>
      </c>
      <c r="F22" s="3" t="n">
        <v>830000</v>
      </c>
      <c r="G22" s="3" t="n">
        <v>325000</v>
      </c>
      <c r="H22" s="3" t="n">
        <v>331000</v>
      </c>
      <c r="I22" s="3" t="n">
        <v>47</v>
      </c>
      <c r="J22" s="3" t="n">
        <v>45</v>
      </c>
      <c r="K22" s="3" t="n">
        <v>38</v>
      </c>
      <c r="L22" s="3" t="n">
        <v>92</v>
      </c>
    </row>
    <row r="23">
      <c r="A23" s="3" t="inlineStr">
        <is>
          <t>May-2026</t>
        </is>
      </c>
      <c r="B23" s="3" t="inlineStr">
        <is>
          <t>Customer Service</t>
        </is>
      </c>
      <c r="C23" s="3" t="inlineStr">
        <is>
          <t>Manager D</t>
        </is>
      </c>
      <c r="D23" s="3" t="n">
        <v>11</v>
      </c>
      <c r="E23" s="3" t="n">
        <v>580000</v>
      </c>
      <c r="F23" s="3" t="n">
        <v>592000</v>
      </c>
      <c r="G23" s="3" t="n">
        <v>275000</v>
      </c>
      <c r="H23" s="3" t="n">
        <v>279000</v>
      </c>
      <c r="I23" s="3" t="n">
        <v>54</v>
      </c>
      <c r="J23" s="3" t="n">
        <v>52</v>
      </c>
      <c r="K23" s="3" t="n">
        <v>48</v>
      </c>
      <c r="L23" s="3" t="n">
        <v>94</v>
      </c>
    </row>
    <row r="24">
      <c r="A24" s="3" t="inlineStr">
        <is>
          <t>Jun-2026</t>
        </is>
      </c>
      <c r="B24" s="3" t="inlineStr">
        <is>
          <t>Sales</t>
        </is>
      </c>
      <c r="C24" s="3" t="inlineStr">
        <is>
          <t>Manager A</t>
        </is>
      </c>
      <c r="D24" s="3" t="n">
        <v>10</v>
      </c>
      <c r="E24" s="3" t="n">
        <v>1450000</v>
      </c>
      <c r="F24" s="3" t="n">
        <v>1495000</v>
      </c>
      <c r="G24" s="3" t="n">
        <v>525000</v>
      </c>
      <c r="H24" s="3" t="n">
        <v>534000</v>
      </c>
      <c r="I24" s="3" t="n">
        <v>66</v>
      </c>
      <c r="J24" s="3" t="n">
        <v>63</v>
      </c>
      <c r="K24" s="3" t="n">
        <v>52</v>
      </c>
      <c r="L24" s="3" t="n">
        <v>91</v>
      </c>
    </row>
    <row r="25">
      <c r="A25" s="3" t="inlineStr">
        <is>
          <t>Jun-2026</t>
        </is>
      </c>
      <c r="B25" s="3" t="inlineStr">
        <is>
          <t>Operations</t>
        </is>
      </c>
      <c r="C25" s="3" t="inlineStr">
        <is>
          <t>Manager B</t>
        </is>
      </c>
      <c r="D25" s="3" t="n">
        <v>16</v>
      </c>
      <c r="E25" s="3" t="n">
        <v>1180000</v>
      </c>
      <c r="F25" s="3" t="n">
        <v>1205000</v>
      </c>
      <c r="G25" s="3" t="n">
        <v>710000</v>
      </c>
      <c r="H25" s="3" t="n">
        <v>719000</v>
      </c>
      <c r="I25" s="3" t="n">
        <v>79</v>
      </c>
      <c r="J25" s="3" t="n">
        <v>76</v>
      </c>
      <c r="K25" s="3" t="n">
        <v>61</v>
      </c>
      <c r="L25" s="3" t="n">
        <v>90</v>
      </c>
    </row>
    <row r="26">
      <c r="A26" s="3" t="inlineStr">
        <is>
          <t>Jun-2026</t>
        </is>
      </c>
      <c r="B26" s="3" t="inlineStr">
        <is>
          <t>Marketing</t>
        </is>
      </c>
      <c r="C26" s="3" t="inlineStr">
        <is>
          <t>Manager C</t>
        </is>
      </c>
      <c r="D26" s="3" t="n">
        <v>7</v>
      </c>
      <c r="E26" s="3" t="n">
        <v>840000</v>
      </c>
      <c r="F26" s="3" t="n">
        <v>865000</v>
      </c>
      <c r="G26" s="3" t="n">
        <v>340000</v>
      </c>
      <c r="H26" s="3" t="n">
        <v>347000</v>
      </c>
      <c r="I26" s="3" t="n">
        <v>49</v>
      </c>
      <c r="J26" s="3" t="n">
        <v>47</v>
      </c>
      <c r="K26" s="3" t="n">
        <v>40</v>
      </c>
      <c r="L26" s="3" t="n">
        <v>92</v>
      </c>
    </row>
    <row r="27">
      <c r="A27" s="3" t="inlineStr">
        <is>
          <t>Jun-2026</t>
        </is>
      </c>
      <c r="B27" s="3" t="inlineStr">
        <is>
          <t>Customer Service</t>
        </is>
      </c>
      <c r="C27" s="3" t="inlineStr">
        <is>
          <t>Manager D</t>
        </is>
      </c>
      <c r="D27" s="3" t="n">
        <v>11</v>
      </c>
      <c r="E27" s="3" t="n">
        <v>600000</v>
      </c>
      <c r="F27" s="3" t="n">
        <v>615000</v>
      </c>
      <c r="G27" s="3" t="n">
        <v>285000</v>
      </c>
      <c r="H27" s="3" t="n">
        <v>290000</v>
      </c>
      <c r="I27" s="3" t="n">
        <v>56</v>
      </c>
      <c r="J27" s="3" t="n">
        <v>54</v>
      </c>
      <c r="K27" s="3" t="n">
        <v>50</v>
      </c>
      <c r="L27" s="3" t="n">
        <v>94</v>
      </c>
    </row>
  </sheetData>
  <autoFilter ref="A3:L27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4" customWidth="1" min="2" max="2"/>
    <col width="55" customWidth="1" min="3" max="3"/>
  </cols>
  <sheetData>
    <row r="1">
      <c r="A1" s="2" t="inlineStr">
        <is>
          <t>KPI</t>
        </is>
      </c>
      <c r="B1" s="2" t="inlineStr">
        <is>
          <t>Value</t>
        </is>
      </c>
      <c r="C1" s="2" t="inlineStr">
        <is>
          <t>Meaning</t>
        </is>
      </c>
    </row>
    <row r="2">
      <c r="A2" s="3" t="inlineStr">
        <is>
          <t>Total Target (Rupee)</t>
        </is>
      </c>
      <c r="B2" s="3">
        <f>SUM(Management_Data!E4:E27)</f>
        <v/>
      </c>
      <c r="C2" s="3" t="inlineStr">
        <is>
          <t>Total planned target</t>
        </is>
      </c>
    </row>
    <row r="3">
      <c r="A3" s="3" t="inlineStr">
        <is>
          <t>Total Actual (Rupee)</t>
        </is>
      </c>
      <c r="B3" s="3">
        <f>SUM(Management_Data!F4:F27)</f>
        <v/>
      </c>
      <c r="C3" s="3" t="inlineStr">
        <is>
          <t>Total actual result</t>
        </is>
      </c>
    </row>
    <row r="4">
      <c r="A4" s="3" t="inlineStr">
        <is>
          <t>Total Budget (Rupee)</t>
        </is>
      </c>
      <c r="B4" s="3">
        <f>SUM(Management_Data!G4:G27)</f>
        <v/>
      </c>
      <c r="C4" s="3" t="inlineStr">
        <is>
          <t>Total allocated budget</t>
        </is>
      </c>
    </row>
    <row r="5">
      <c r="A5" s="3" t="inlineStr">
        <is>
          <t>Total Actual Cost (Rupee)</t>
        </is>
      </c>
      <c r="B5" s="3">
        <f>SUM(Management_Data!H4:H27)</f>
        <v/>
      </c>
      <c r="C5" s="3" t="inlineStr">
        <is>
          <t>Total cost incurred</t>
        </is>
      </c>
    </row>
    <row r="6">
      <c r="A6" s="3" t="inlineStr">
        <is>
          <t>Target Achievement (%)</t>
        </is>
      </c>
      <c r="B6" s="3">
        <f>B3/B2*100</f>
        <v/>
      </c>
      <c r="C6" s="3" t="inlineStr">
        <is>
          <t>Actual / Target × 100</t>
        </is>
      </c>
    </row>
    <row r="7">
      <c r="A7" s="3" t="inlineStr">
        <is>
          <t>Budget Utilisation (%)</t>
        </is>
      </c>
      <c r="B7" s="3">
        <f>B5/B4*100</f>
        <v/>
      </c>
      <c r="C7" s="3" t="inlineStr">
        <is>
          <t>Actual Cost / Budget × 100</t>
        </is>
      </c>
    </row>
    <row r="8">
      <c r="A8" s="3" t="inlineStr">
        <is>
          <t>Task Completion (%)</t>
        </is>
      </c>
      <c r="B8" s="3">
        <f>SUM(Management_Data!J4:J27)/SUM(Management_Data!I4:I27)*100</f>
        <v/>
      </c>
      <c r="C8" s="3" t="inlineStr">
        <is>
          <t>Completed / Planned × 100</t>
        </is>
      </c>
    </row>
    <row r="9">
      <c r="A9" s="3" t="inlineStr">
        <is>
          <t>Issue Resolution (%)</t>
        </is>
      </c>
      <c r="B9" s="3">
        <f>SUM(Management_Data!K4:K27)/SUM(Management_Data!I4:I27)*100</f>
        <v/>
      </c>
      <c r="C9" s="3" t="inlineStr">
        <is>
          <t>Issues resolved relative to planned tasks</t>
        </is>
      </c>
    </row>
    <row r="10">
      <c r="A10" s="3" t="inlineStr">
        <is>
          <t>Average Customer Satisfaction (%)</t>
        </is>
      </c>
      <c r="B10" s="3">
        <f>AVERAGE(Management_Data!L4:L27)</f>
        <v/>
      </c>
      <c r="C10" s="3" t="inlineStr">
        <is>
          <t>Average satisfaction score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8" customWidth="1" min="3" max="3"/>
    <col width="18" customWidth="1" min="4" max="4"/>
    <col width="18" customWidth="1" min="5" max="5"/>
    <col width="20" customWidth="1" min="6" max="6"/>
    <col width="16" customWidth="1" min="7" max="7"/>
    <col width="18" customWidth="1" min="8" max="8"/>
    <col width="25" customWidth="1" min="9" max="9"/>
  </cols>
  <sheetData>
    <row r="1">
      <c r="A1" s="2" t="inlineStr">
        <is>
          <t>Business_Function</t>
        </is>
      </c>
      <c r="B1" s="2" t="inlineStr">
        <is>
          <t>Team_Size_Avg</t>
        </is>
      </c>
      <c r="C1" s="2" t="inlineStr">
        <is>
          <t>Target_Rupee</t>
        </is>
      </c>
      <c r="D1" s="2" t="inlineStr">
        <is>
          <t>Actual_Rupee</t>
        </is>
      </c>
      <c r="E1" s="2" t="inlineStr">
        <is>
          <t>Budget_Rupee</t>
        </is>
      </c>
      <c r="F1" s="2" t="inlineStr">
        <is>
          <t>Actual_Cost_Rupee</t>
        </is>
      </c>
      <c r="G1" s="2" t="inlineStr">
        <is>
          <t>Tasks_Planned</t>
        </is>
      </c>
      <c r="H1" s="2" t="inlineStr">
        <is>
          <t>Tasks_Completed</t>
        </is>
      </c>
      <c r="I1" s="2" t="inlineStr">
        <is>
          <t>Customer_Satisfaction_%</t>
        </is>
      </c>
    </row>
    <row r="2">
      <c r="A2" s="3" t="inlineStr">
        <is>
          <t>Customer Service</t>
        </is>
      </c>
      <c r="B2" s="3" t="n">
        <v>10.5</v>
      </c>
      <c r="C2" s="3" t="n">
        <v>3300000</v>
      </c>
      <c r="D2" s="3" t="n">
        <v>3340000</v>
      </c>
      <c r="E2" s="3" t="n">
        <v>1568000</v>
      </c>
      <c r="F2" s="3" t="n">
        <v>1577000</v>
      </c>
      <c r="G2" s="3" t="n">
        <v>306</v>
      </c>
      <c r="H2" s="3" t="n">
        <v>294</v>
      </c>
      <c r="I2" s="3" t="n">
        <v>92.83333333333333</v>
      </c>
    </row>
    <row r="3">
      <c r="A3" s="3" t="inlineStr">
        <is>
          <t>Marketing</t>
        </is>
      </c>
      <c r="B3" s="3" t="n">
        <v>6.5</v>
      </c>
      <c r="C3" s="3" t="n">
        <v>4600000</v>
      </c>
      <c r="D3" s="3" t="n">
        <v>4755000</v>
      </c>
      <c r="E3" s="3" t="n">
        <v>1850000</v>
      </c>
      <c r="F3" s="3" t="n">
        <v>1893000</v>
      </c>
      <c r="G3" s="3" t="n">
        <v>261</v>
      </c>
      <c r="H3" s="3" t="n">
        <v>248</v>
      </c>
      <c r="I3" s="3" t="n">
        <v>90.66666666666667</v>
      </c>
    </row>
    <row r="4">
      <c r="A4" s="3" t="inlineStr">
        <is>
          <t>Operations</t>
        </is>
      </c>
      <c r="B4" s="3" t="n">
        <v>14.83333333333333</v>
      </c>
      <c r="C4" s="3" t="n">
        <v>6480000</v>
      </c>
      <c r="D4" s="3" t="n">
        <v>6515000</v>
      </c>
      <c r="E4" s="3" t="n">
        <v>3975000</v>
      </c>
      <c r="F4" s="3" t="n">
        <v>3996000</v>
      </c>
      <c r="G4" s="3" t="n">
        <v>429</v>
      </c>
      <c r="H4" s="3" t="n">
        <v>408</v>
      </c>
      <c r="I4" s="3" t="n">
        <v>88</v>
      </c>
    </row>
    <row r="5">
      <c r="A5" s="3" t="inlineStr">
        <is>
          <t>Sales</t>
        </is>
      </c>
      <c r="B5" s="3" t="n">
        <v>8.833333333333334</v>
      </c>
      <c r="C5" s="3" t="n">
        <v>7950000</v>
      </c>
      <c r="D5" s="3" t="n">
        <v>8035000</v>
      </c>
      <c r="E5" s="3" t="n">
        <v>2925000</v>
      </c>
      <c r="F5" s="3" t="n">
        <v>2933000</v>
      </c>
      <c r="G5" s="3" t="n">
        <v>354</v>
      </c>
      <c r="H5" s="3" t="n">
        <v>334</v>
      </c>
      <c r="I5" s="3" t="n">
        <v>89.66666666666667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5" customWidth="1" min="2" max="2"/>
    <col width="55" customWidth="1" min="3" max="3"/>
  </cols>
  <sheetData>
    <row r="1">
      <c r="A1" s="2" t="inlineStr">
        <is>
          <t>Stage</t>
        </is>
      </c>
      <c r="B1" s="2" t="inlineStr">
        <is>
          <t>Management Activity</t>
        </is>
      </c>
      <c r="C1" s="2" t="inlineStr">
        <is>
          <t>Typical Question</t>
        </is>
      </c>
    </row>
    <row r="2">
      <c r="A2" s="3" t="inlineStr">
        <is>
          <t>Plan</t>
        </is>
      </c>
      <c r="B2" s="3" t="inlineStr">
        <is>
          <t>Set goals, targets, budgets and priorities</t>
        </is>
      </c>
      <c r="C2" s="3" t="inlineStr">
        <is>
          <t>What needs to be achieved?</t>
        </is>
      </c>
    </row>
    <row r="3">
      <c r="A3" s="3" t="inlineStr">
        <is>
          <t>Organise</t>
        </is>
      </c>
      <c r="B3" s="3" t="inlineStr">
        <is>
          <t>Allocate people, resources and responsibilities</t>
        </is>
      </c>
      <c r="C3" s="3" t="inlineStr">
        <is>
          <t>Who will do what?</t>
        </is>
      </c>
    </row>
    <row r="4">
      <c r="A4" s="3" t="inlineStr">
        <is>
          <t>Lead</t>
        </is>
      </c>
      <c r="B4" s="3" t="inlineStr">
        <is>
          <t>Coordinate teams and communicate expectations</t>
        </is>
      </c>
      <c r="C4" s="3" t="inlineStr">
        <is>
          <t>How will the team work together?</t>
        </is>
      </c>
    </row>
    <row r="5">
      <c r="A5" s="3" t="inlineStr">
        <is>
          <t>Monitor</t>
        </is>
      </c>
      <c r="B5" s="3" t="inlineStr">
        <is>
          <t>Track KPIs and progress</t>
        </is>
      </c>
      <c r="C5" s="3" t="inlineStr">
        <is>
          <t>Are results on track?</t>
        </is>
      </c>
    </row>
    <row r="6">
      <c r="A6" s="3" t="inlineStr">
        <is>
          <t>Review</t>
        </is>
      </c>
      <c r="B6" s="3" t="inlineStr">
        <is>
          <t>Compare actual results with targets</t>
        </is>
      </c>
      <c r="C6" s="3" t="inlineStr">
        <is>
          <t>What changed from the plan?</t>
        </is>
      </c>
    </row>
    <row r="7">
      <c r="A7" s="3" t="inlineStr">
        <is>
          <t>Improve</t>
        </is>
      </c>
      <c r="B7" s="3" t="inlineStr">
        <is>
          <t>Take corrective or improvement actions</t>
        </is>
      </c>
      <c r="C7" s="3" t="inlineStr">
        <is>
          <t>What should change next?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95" customWidth="1" min="1" max="1"/>
  </cols>
  <sheetData>
    <row r="1">
      <c r="A1" s="2" t="inlineStr">
        <is>
          <t>Question</t>
        </is>
      </c>
    </row>
    <row r="2">
      <c r="A2" s="3" t="inlineStr">
        <is>
          <t>What is the overall target achievement percentage?</t>
        </is>
      </c>
    </row>
    <row r="3">
      <c r="A3" s="3" t="inlineStr">
        <is>
          <t>Which business function has the highest actual value?</t>
        </is>
      </c>
    </row>
    <row r="4">
      <c r="A4" s="3" t="inlineStr">
        <is>
          <t>Which function has the largest budget?</t>
        </is>
      </c>
    </row>
    <row r="5">
      <c r="A5" s="3" t="inlineStr">
        <is>
          <t>Which function has the highest customer satisfaction?</t>
        </is>
      </c>
    </row>
    <row r="6">
      <c r="A6" s="3" t="inlineStr">
        <is>
          <t>How does actual cost compare with budget?</t>
        </is>
      </c>
    </row>
    <row r="7">
      <c r="A7" s="3" t="inlineStr">
        <is>
          <t>What does task completion tell a manager?</t>
        </is>
      </c>
    </row>
    <row r="8">
      <c r="A8" s="3" t="inlineStr">
        <is>
          <t>Why should actual results be compared with targets?</t>
        </is>
      </c>
    </row>
    <row r="9">
      <c r="A9" s="3" t="inlineStr">
        <is>
          <t>Which areas may need further investigation?</t>
        </is>
      </c>
    </row>
    <row r="10">
      <c r="A10" s="3" t="inlineStr">
        <is>
          <t>What additional information would help explain performance differences?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65" customWidth="1" min="2" max="2"/>
    <col width="65" customWidth="1" min="3" max="3"/>
  </cols>
  <sheetData>
    <row r="1">
      <c r="A1" s="2" t="inlineStr">
        <is>
          <t>Area</t>
        </is>
      </c>
      <c r="B1" s="2" t="inlineStr">
        <is>
          <t>Observation Framework</t>
        </is>
      </c>
      <c r="C1" s="2" t="inlineStr">
        <is>
          <t>Management Use</t>
        </is>
      </c>
    </row>
    <row r="2">
      <c r="A2" s="3" t="inlineStr">
        <is>
          <t>Targets</t>
        </is>
      </c>
      <c r="B2" s="3" t="inlineStr">
        <is>
          <t>Compare Actual_Rupee with Target_Rupee.</t>
        </is>
      </c>
      <c r="C2" s="3" t="inlineStr">
        <is>
          <t>Identify whether planned results were achieved.</t>
        </is>
      </c>
    </row>
    <row r="3">
      <c r="A3" s="3" t="inlineStr">
        <is>
          <t>Budget</t>
        </is>
      </c>
      <c r="B3" s="3" t="inlineStr">
        <is>
          <t>Compare Actual_Cost_Rupee with Budget_Rupee.</t>
        </is>
      </c>
      <c r="C3" s="3" t="inlineStr">
        <is>
          <t>Review resource utilisation.</t>
        </is>
      </c>
    </row>
    <row r="4">
      <c r="A4" s="3" t="inlineStr">
        <is>
          <t>Tasks</t>
        </is>
      </c>
      <c r="B4" s="3" t="inlineStr">
        <is>
          <t>Compare Tasks_Completed with Tasks_Planned.</t>
        </is>
      </c>
      <c r="C4" s="3" t="inlineStr">
        <is>
          <t>Monitor execution progress.</t>
        </is>
      </c>
    </row>
    <row r="5">
      <c r="A5" s="3" t="inlineStr">
        <is>
          <t>Customer</t>
        </is>
      </c>
      <c r="B5" s="3" t="inlineStr">
        <is>
          <t>Review Customer_Satisfaction_%.</t>
        </is>
      </c>
      <c r="C5" s="3" t="inlineStr">
        <is>
          <t>Track customer-facing performance.</t>
        </is>
      </c>
    </row>
    <row r="6">
      <c r="A6" s="3" t="inlineStr">
        <is>
          <t>Team</t>
        </is>
      </c>
      <c r="B6" s="3" t="inlineStr">
        <is>
          <t>Review Team_Size with workload and results.</t>
        </is>
      </c>
      <c r="C6" s="3" t="inlineStr">
        <is>
          <t>Consider capacity and resource allocation.</t>
        </is>
      </c>
    </row>
    <row r="7">
      <c r="A7" s="3" t="inlineStr">
        <is>
          <t>Improvement</t>
        </is>
      </c>
      <c r="B7" s="3" t="inlineStr">
        <is>
          <t>Investigate unusual gaps between target and actual.</t>
        </is>
      </c>
      <c r="C7" s="3" t="inlineStr">
        <is>
          <t>Support corrective action and planning.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4" customWidth="1" min="1" max="1"/>
    <col width="24" customWidth="1" min="2" max="2"/>
  </cols>
  <sheetData>
    <row r="1">
      <c r="A1" s="2" t="inlineStr">
        <is>
          <t>Day 089 — Business Management Dashboard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</row>
    <row r="2">
      <c r="A2" s="3" t="n"/>
      <c r="B2" s="3" t="n"/>
      <c r="C2" s="3" t="n"/>
      <c r="D2" s="3" t="n"/>
      <c r="E2" s="3" t="n"/>
      <c r="F2" s="3" t="n"/>
      <c r="G2" s="3" t="n"/>
      <c r="H2" s="3" t="n"/>
      <c r="I2" s="3" t="n"/>
      <c r="J2" s="3" t="inlineStr">
        <is>
          <t>Business Function</t>
        </is>
      </c>
      <c r="K2" s="3" t="inlineStr">
        <is>
          <t>Actual Rupee</t>
        </is>
      </c>
    </row>
    <row r="3">
      <c r="A3" s="4" t="inlineStr">
        <is>
          <t>Total Target (Rupee)</t>
        </is>
      </c>
      <c r="B3" s="3">
        <f>Management_KPIs!B2</f>
        <v/>
      </c>
      <c r="C3" s="3" t="n"/>
      <c r="D3" s="3" t="n"/>
      <c r="E3" s="3" t="n"/>
      <c r="F3" s="3" t="n"/>
      <c r="G3" s="3" t="n"/>
      <c r="H3" s="3" t="n"/>
      <c r="I3" s="3" t="n"/>
      <c r="J3" s="3" t="inlineStr">
        <is>
          <t>Customer Service</t>
        </is>
      </c>
      <c r="K3" s="3">
        <f>SUMIF(Management_Data!B:B,J3,Management_Data!F:F)</f>
        <v/>
      </c>
    </row>
    <row r="4">
      <c r="A4" s="4" t="inlineStr">
        <is>
          <t>Total Actual (Rupee)</t>
        </is>
      </c>
      <c r="B4" s="3">
        <f>Management_KPIs!B3</f>
        <v/>
      </c>
      <c r="C4" s="3" t="n"/>
      <c r="D4" s="3" t="n"/>
      <c r="E4" s="3" t="n"/>
      <c r="F4" s="3" t="n"/>
      <c r="G4" s="3" t="n"/>
      <c r="H4" s="3" t="n"/>
      <c r="I4" s="3" t="n"/>
      <c r="J4" s="3" t="inlineStr">
        <is>
          <t>Marketing</t>
        </is>
      </c>
      <c r="K4" s="3">
        <f>SUMIF(Management_Data!B:B,J4,Management_Data!F:F)</f>
        <v/>
      </c>
    </row>
    <row r="5">
      <c r="A5" s="4" t="inlineStr">
        <is>
          <t>Total Budget (Rupee)</t>
        </is>
      </c>
      <c r="B5" s="3">
        <f>Management_KPIs!B4</f>
        <v/>
      </c>
      <c r="C5" s="3" t="n"/>
      <c r="D5" s="3" t="n"/>
      <c r="E5" s="3" t="n"/>
      <c r="F5" s="3" t="n"/>
      <c r="G5" s="3" t="n"/>
      <c r="H5" s="3" t="n"/>
      <c r="I5" s="3" t="n"/>
      <c r="J5" s="3" t="inlineStr">
        <is>
          <t>Operations</t>
        </is>
      </c>
      <c r="K5" s="3">
        <f>SUMIF(Management_Data!B:B,J5,Management_Data!F:F)</f>
        <v/>
      </c>
    </row>
    <row r="6">
      <c r="A6" s="4" t="inlineStr">
        <is>
          <t>Total Actual Cost (Rupee)</t>
        </is>
      </c>
      <c r="B6" s="3">
        <f>Management_KPIs!B5</f>
        <v/>
      </c>
      <c r="C6" s="3" t="n"/>
      <c r="D6" s="3" t="n"/>
      <c r="E6" s="3" t="n"/>
      <c r="F6" s="3" t="n"/>
      <c r="G6" s="3" t="n"/>
      <c r="H6" s="3" t="n"/>
      <c r="I6" s="3" t="n"/>
      <c r="J6" s="3" t="inlineStr">
        <is>
          <t>Sales</t>
        </is>
      </c>
      <c r="K6" s="3">
        <f>SUMIF(Management_Data!B:B,J6,Management_Data!F:F)</f>
        <v/>
      </c>
    </row>
    <row r="7">
      <c r="A7" s="4" t="inlineStr">
        <is>
          <t>Target Achievement (%)</t>
        </is>
      </c>
      <c r="B7" s="3">
        <f>Management_KPIs!B6</f>
        <v/>
      </c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>
      <c r="A8" s="4" t="inlineStr">
        <is>
          <t>Budget Utilisation (%)</t>
        </is>
      </c>
      <c r="B8" s="3">
        <f>Management_KPIs!B7</f>
        <v/>
      </c>
      <c r="C8" s="3" t="n"/>
      <c r="D8" s="3" t="n"/>
      <c r="E8" s="3" t="n"/>
      <c r="F8" s="3" t="n"/>
      <c r="G8" s="3" t="n"/>
      <c r="H8" s="3" t="n"/>
      <c r="I8" s="3" t="n"/>
      <c r="J8" s="3" t="n"/>
      <c r="K8" s="3" t="n"/>
    </row>
    <row r="9">
      <c r="A9" s="4" t="inlineStr">
        <is>
          <t>Task Completion (%)</t>
        </is>
      </c>
      <c r="B9" s="3">
        <f>Management_KPIs!B8</f>
        <v/>
      </c>
      <c r="C9" s="3" t="n"/>
      <c r="D9" s="3" t="n"/>
      <c r="E9" s="3" t="n"/>
      <c r="F9" s="3" t="n"/>
      <c r="G9" s="3" t="n"/>
      <c r="H9" s="3" t="n"/>
      <c r="I9" s="3" t="n"/>
      <c r="J9" s="3" t="n"/>
      <c r="K9" s="3" t="n"/>
    </row>
    <row r="10">
      <c r="A10" s="4" t="inlineStr">
        <is>
          <t>Customer Satisfaction (%)</t>
        </is>
      </c>
      <c r="B10" s="3">
        <f>Management_KPIs!B10</f>
        <v/>
      </c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2026-09-17T09:45:40Z</dcterms:created>
  <dcterms:modified xmlns:dcterms="http://purl.org/dc/terms/" xmlns:xsi="http://www.w3.org/2001/XMLSchema-instance" xsi:type="dcterms:W3CDTF">2026-09-17T09:45:40Z</dcterms:modified>
</cp:coreProperties>
</file>