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Data" sheetId="1" state="visible" r:id="rId1"/>
    <sheet xmlns:r="http://schemas.openxmlformats.org/officeDocument/2006/relationships" name="Region_Revenue" sheetId="2" state="visible" r:id="rId2"/>
    <sheet xmlns:r="http://schemas.openxmlformats.org/officeDocument/2006/relationships" name="Monthly_Region_Revenue" sheetId="3" state="visible" r:id="rId3"/>
    <sheet xmlns:r="http://schemas.openxmlformats.org/officeDocument/2006/relationships" name="Product_Region_Revenue" sheetId="4" state="visible" r:id="rId4"/>
    <sheet xmlns:r="http://schemas.openxmlformats.org/officeDocument/2006/relationships" name="Region_Ranking" sheetId="5" state="visible" r:id="rId5"/>
    <sheet xmlns:r="http://schemas.openxmlformats.org/officeDocument/2006/relationships" name="Revenue_Share" sheetId="6" state="visible" r:id="rId6"/>
    <sheet xmlns:r="http://schemas.openxmlformats.org/officeDocument/2006/relationships" name="Region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Region_Working" sheetId="10" state="visible" r:id="rId10"/>
    <sheet xmlns:r="http://schemas.openxmlformats.org/officeDocument/2006/relationships" name="Region_Revenue_Dashboard" sheetId="11" state="visible" r:id="rId11"/>
    <sheet xmlns:r="http://schemas.openxmlformats.org/officeDocument/2006/relationships" name="Instructions" sheetId="12" state="visible" r:id="rId12"/>
  </sheets>
  <definedNames>
    <definedName name="_xlnm._FilterDatabase" localSheetId="0" hidden="1">'Revenue_Data'!$A$1:$M$55</definedName>
    <definedName name="_xlnm._FilterDatabase" localSheetId="1" hidden="1">'Region_Revenue'!$A$1:$L$4</definedName>
    <definedName name="_xlnm._FilterDatabase" localSheetId="2" hidden="1">'Monthly_Region_Revenue'!$A$1:$E$7</definedName>
    <definedName name="_xlnm._FilterDatabase" localSheetId="3" hidden="1">'Product_Region_Revenue'!$A$1:$E$4</definedName>
    <definedName name="_xlnm._FilterDatabase" localSheetId="4" hidden="1">'Region_Ranking'!$A$1:$H$4</definedName>
    <definedName name="_xlnm._FilterDatabase" localSheetId="5" hidden="1">'Revenue_Share'!$A$1:$D$4</definedName>
    <definedName name="_xlnm._FilterDatabase" localSheetId="6" hidden="1">'Region_Questions'!$A$1:$C$11</definedName>
    <definedName name="_xlnm._FilterDatabase" localSheetId="7" hidden="1">'Business_Insights'!$A$1:$C$7</definedName>
    <definedName name="_xlnm._FilterDatabase" localSheetId="8" hidden="1">'Data_Dictionary'!$A$1:$C$14</definedName>
    <definedName name="_xlnm._FilterDatabase" localSheetId="9" hidden="1">'Region_Working'!$A$1:$C$10</definedName>
    <definedName name="_xlnm._FilterDatabase" localSheetId="11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'Region_Revenue'!C1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'Region_Revenue'!$A$2:$A$4</f>
            </numRef>
          </cat>
          <val>
            <numRef>
              <f>'Region_Revenue'!$C$2:$C$4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'Monthly_Region_Revenue'!B1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'Monthly_Region_Revenue'!$A$2:$A$7</f>
            </numRef>
          </cat>
          <val>
            <numRef>
              <f>'Monthly_Region_Revenue'!$B$2:$B$7</f>
            </numRef>
          </val>
        </ser>
        <ser>
          <idx val="1"/>
          <order val="1"/>
          <tx>
            <strRef>
              <f>'Monthly_Region_Revenue'!C1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'Monthly_Region_Revenue'!$A$2:$A$7</f>
            </numRef>
          </cat>
          <val>
            <numRef>
              <f>'Monthly_Region_Revenue'!$C$2:$C$7</f>
            </numRef>
          </val>
        </ser>
        <ser>
          <idx val="2"/>
          <order val="2"/>
          <tx>
            <strRef>
              <f>'Monthly_Region_Revenue'!D1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'Monthly_Region_Revenue'!$A$2:$A$7</f>
            </numRef>
          </cat>
          <val>
            <numRef>
              <f>'Monthly_Region_Revenue'!$D$2:$D$7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and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'Product_Region_Revenue'!B1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'Product_Region_Revenue'!$A$2:$A$4</f>
            </numRef>
          </cat>
          <val>
            <numRef>
              <f>'Product_Region_Revenue'!$B$2:$B$4</f>
            </numRef>
          </val>
        </ser>
        <ser>
          <idx val="1"/>
          <order val="1"/>
          <tx>
            <strRef>
              <f>'Product_Region_Revenue'!C1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'Product_Region_Revenue'!$A$2:$A$4</f>
            </numRef>
          </cat>
          <val>
            <numRef>
              <f>'Product_Region_Revenue'!$C$2:$C$4</f>
            </numRef>
          </val>
        </ser>
        <ser>
          <idx val="2"/>
          <order val="2"/>
          <tx>
            <strRef>
              <f>'Product_Region_Revenue'!D1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'Product_Region_Revenue'!$A$2:$A$4</f>
            </numRef>
          </cat>
          <val>
            <numRef>
              <f>'Product_Region_Revenue'!$D$2:$D$4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Revenue Share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'Revenue_Share'!C1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'Revenue_Share'!$A$2:$A$4</f>
            </numRef>
          </cat>
          <val>
            <numRef>
              <f>'Revenue_Share'!$C$2:$C$4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5" customWidth="1" min="5" max="5"/>
    <col width="18" customWidth="1" min="6" max="6"/>
    <col width="13" customWidth="1" min="7" max="7"/>
    <col width="13" customWidth="1" min="8" max="8"/>
    <col width="19" customWidth="1" min="9" max="9"/>
    <col width="10" customWidth="1" min="10" max="10"/>
    <col width="17" customWidth="1" min="11" max="11"/>
    <col width="14" customWidth="1" min="12" max="12"/>
    <col width="22" customWidth="1" min="13" max="13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Customer_Type</t>
        </is>
      </c>
      <c r="F1" s="1" t="inlineStr">
        <is>
          <t>Production_Units</t>
        </is>
      </c>
      <c r="G1" s="1" t="inlineStr">
        <is>
          <t>Sales_Units</t>
        </is>
      </c>
      <c r="H1" s="1" t="inlineStr">
        <is>
          <t>Scrap_Units</t>
        </is>
      </c>
      <c r="I1" s="1" t="inlineStr">
        <is>
          <t>Closing_Inventory</t>
        </is>
      </c>
      <c r="J1" s="1" t="inlineStr">
        <is>
          <t>Revenue</t>
        </is>
      </c>
      <c r="K1" s="1" t="inlineStr">
        <is>
          <t>Production_Cost</t>
        </is>
      </c>
      <c r="L1" s="1" t="inlineStr">
        <is>
          <t>Gross_Margin</t>
        </is>
      </c>
      <c r="M1" s="1" t="inlineStr">
        <is>
          <t>Scrap_Rate</t>
        </is>
      </c>
    </row>
    <row r="2">
      <c r="A2" t="inlineStr">
        <is>
          <t>RG001</t>
        </is>
      </c>
      <c r="B2" t="inlineStr">
        <is>
          <t>2023-01</t>
        </is>
      </c>
      <c r="C2" t="inlineStr">
        <is>
          <t>Gears</t>
        </is>
      </c>
      <c r="D2" t="inlineStr">
        <is>
          <t>North</t>
        </is>
      </c>
      <c r="E2" t="inlineStr">
        <is>
          <t>Distributor</t>
        </is>
      </c>
      <c r="F2" t="n">
        <v>9025</v>
      </c>
      <c r="G2" t="n">
        <v>8131</v>
      </c>
      <c r="H2" t="n">
        <v>226</v>
      </c>
      <c r="I2" t="n">
        <v>974</v>
      </c>
      <c r="J2" s="2" t="n">
        <v>377200</v>
      </c>
      <c r="K2" s="2" t="n">
        <v>264000</v>
      </c>
      <c r="L2" s="2" t="n">
        <v>113200</v>
      </c>
      <c r="M2" s="3" t="n">
        <v>0.0250415512465374</v>
      </c>
    </row>
    <row r="3">
      <c r="A3" t="inlineStr">
        <is>
          <t>RG002</t>
        </is>
      </c>
      <c r="B3" t="inlineStr">
        <is>
          <t>2023-01</t>
        </is>
      </c>
      <c r="C3" t="inlineStr">
        <is>
          <t>Gears</t>
        </is>
      </c>
      <c r="D3" t="inlineStr">
        <is>
          <t>South</t>
        </is>
      </c>
      <c r="E3" t="inlineStr">
        <is>
          <t>Distributor</t>
        </is>
      </c>
      <c r="F3" t="n">
        <v>8035</v>
      </c>
      <c r="G3" t="n">
        <v>7174</v>
      </c>
      <c r="H3" t="n">
        <v>201</v>
      </c>
      <c r="I3" t="n">
        <v>956</v>
      </c>
      <c r="J3" s="2" t="n">
        <v>329400</v>
      </c>
      <c r="K3" s="2" t="n">
        <v>233900</v>
      </c>
      <c r="L3" s="2" t="n">
        <v>95500</v>
      </c>
      <c r="M3" s="3" t="n">
        <v>0.02501555693839452</v>
      </c>
    </row>
    <row r="4">
      <c r="A4" t="inlineStr">
        <is>
          <t>RG003</t>
        </is>
      </c>
      <c r="B4" t="inlineStr">
        <is>
          <t>2023-01</t>
        </is>
      </c>
      <c r="C4" t="inlineStr">
        <is>
          <t>Gears</t>
        </is>
      </c>
      <c r="D4" t="inlineStr">
        <is>
          <t>West</t>
        </is>
      </c>
      <c r="E4" t="inlineStr">
        <is>
          <t>Distributor</t>
        </is>
      </c>
      <c r="F4" t="n">
        <v>7686</v>
      </c>
      <c r="G4" t="n">
        <v>6802</v>
      </c>
      <c r="H4" t="n">
        <v>192</v>
      </c>
      <c r="I4" t="n">
        <v>994</v>
      </c>
      <c r="J4" s="2" t="n">
        <v>309200</v>
      </c>
      <c r="K4" s="2" t="n">
        <v>222600</v>
      </c>
      <c r="L4" s="2" t="n">
        <v>86600</v>
      </c>
      <c r="M4" s="3" t="n">
        <v>0.02498048399687744</v>
      </c>
    </row>
    <row r="5">
      <c r="A5" t="inlineStr">
        <is>
          <t>RG004</t>
        </is>
      </c>
      <c r="B5" t="inlineStr">
        <is>
          <t>2023-01</t>
        </is>
      </c>
      <c r="C5" t="inlineStr">
        <is>
          <t>Shafts</t>
        </is>
      </c>
      <c r="D5" t="inlineStr">
        <is>
          <t>North</t>
        </is>
      </c>
      <c r="E5" t="inlineStr">
        <is>
          <t>OEM</t>
        </is>
      </c>
      <c r="F5" t="n">
        <v>6391</v>
      </c>
      <c r="G5" t="n">
        <v>5758</v>
      </c>
      <c r="H5" t="n">
        <v>173</v>
      </c>
      <c r="I5" t="n">
        <v>713</v>
      </c>
      <c r="J5" s="2" t="n">
        <v>314600</v>
      </c>
      <c r="K5" s="2" t="n">
        <v>226500</v>
      </c>
      <c r="L5" s="2" t="n">
        <v>88100</v>
      </c>
      <c r="M5" s="3" t="n">
        <v>0.02706931622594273</v>
      </c>
    </row>
    <row r="6">
      <c r="A6" t="inlineStr">
        <is>
          <t>RG005</t>
        </is>
      </c>
      <c r="B6" t="inlineStr">
        <is>
          <t>2023-01</t>
        </is>
      </c>
      <c r="C6" t="inlineStr">
        <is>
          <t>Shafts</t>
        </is>
      </c>
      <c r="D6" t="inlineStr">
        <is>
          <t>South</t>
        </is>
      </c>
      <c r="E6" t="inlineStr">
        <is>
          <t>OEM</t>
        </is>
      </c>
      <c r="F6" t="n">
        <v>5715</v>
      </c>
      <c r="G6" t="n">
        <v>5103</v>
      </c>
      <c r="H6" t="n">
        <v>154</v>
      </c>
      <c r="I6" t="n">
        <v>707</v>
      </c>
      <c r="J6" s="2" t="n">
        <v>276000</v>
      </c>
      <c r="K6" s="2" t="n">
        <v>201500</v>
      </c>
      <c r="L6" s="2" t="n">
        <v>74500</v>
      </c>
      <c r="M6" s="3" t="n">
        <v>0.02694663167104112</v>
      </c>
    </row>
    <row r="7">
      <c r="A7" t="inlineStr">
        <is>
          <t>RG006</t>
        </is>
      </c>
      <c r="B7" t="inlineStr">
        <is>
          <t>2023-01</t>
        </is>
      </c>
      <c r="C7" t="inlineStr">
        <is>
          <t>Shafts</t>
        </is>
      </c>
      <c r="D7" t="inlineStr">
        <is>
          <t>West</t>
        </is>
      </c>
      <c r="E7" t="inlineStr">
        <is>
          <t>OEM</t>
        </is>
      </c>
      <c r="F7" t="n">
        <v>5205</v>
      </c>
      <c r="G7" t="n">
        <v>4606</v>
      </c>
      <c r="H7" t="n">
        <v>141</v>
      </c>
      <c r="I7" t="n">
        <v>709</v>
      </c>
      <c r="J7" s="2" t="n">
        <v>246600</v>
      </c>
      <c r="K7" s="2" t="n">
        <v>182500</v>
      </c>
      <c r="L7" s="2" t="n">
        <v>64100</v>
      </c>
      <c r="M7" s="3" t="n">
        <v>0.02708933717579251</v>
      </c>
    </row>
    <row r="8">
      <c r="A8" t="inlineStr">
        <is>
          <t>RG007</t>
        </is>
      </c>
      <c r="B8" t="inlineStr">
        <is>
          <t>2023-01</t>
        </is>
      </c>
      <c r="C8" t="inlineStr">
        <is>
          <t>Bearings</t>
        </is>
      </c>
      <c r="D8" t="inlineStr">
        <is>
          <t>North</t>
        </is>
      </c>
      <c r="E8" t="inlineStr">
        <is>
          <t>Distributor</t>
        </is>
      </c>
      <c r="F8" t="n">
        <v>5097</v>
      </c>
      <c r="G8" t="n">
        <v>4592</v>
      </c>
      <c r="H8" t="n">
        <v>148</v>
      </c>
      <c r="I8" t="n">
        <v>585</v>
      </c>
      <c r="J8" s="2" t="n">
        <v>288800</v>
      </c>
      <c r="K8" s="2" t="n">
        <v>213700</v>
      </c>
      <c r="L8" s="2" t="n">
        <v>75100</v>
      </c>
      <c r="M8" s="3" t="n">
        <v>0.02903668824798901</v>
      </c>
    </row>
    <row r="9">
      <c r="A9" t="inlineStr">
        <is>
          <t>RG008</t>
        </is>
      </c>
      <c r="B9" t="inlineStr">
        <is>
          <t>2023-01</t>
        </is>
      </c>
      <c r="C9" t="inlineStr">
        <is>
          <t>Bearings</t>
        </is>
      </c>
      <c r="D9" t="inlineStr">
        <is>
          <t>South</t>
        </is>
      </c>
      <c r="E9" t="inlineStr">
        <is>
          <t>Distributor</t>
        </is>
      </c>
      <c r="F9" t="n">
        <v>4337</v>
      </c>
      <c r="G9" t="n">
        <v>3872</v>
      </c>
      <c r="H9" t="n">
        <v>126</v>
      </c>
      <c r="I9" t="n">
        <v>560</v>
      </c>
      <c r="J9" s="2" t="n">
        <v>241000</v>
      </c>
      <c r="K9" s="2" t="n">
        <v>180800</v>
      </c>
      <c r="L9" s="2" t="n">
        <v>60200</v>
      </c>
      <c r="M9" s="3" t="n">
        <v>0.02905234032741526</v>
      </c>
    </row>
    <row r="10">
      <c r="A10" t="inlineStr">
        <is>
          <t>RG009</t>
        </is>
      </c>
      <c r="B10" t="inlineStr">
        <is>
          <t>2023-01</t>
        </is>
      </c>
      <c r="C10" t="inlineStr">
        <is>
          <t>Bearings</t>
        </is>
      </c>
      <c r="D10" t="inlineStr">
        <is>
          <t>West</t>
        </is>
      </c>
      <c r="E10" t="inlineStr">
        <is>
          <t>Distributor</t>
        </is>
      </c>
      <c r="F10" t="n">
        <v>4218</v>
      </c>
      <c r="G10" t="n">
        <v>3733</v>
      </c>
      <c r="H10" t="n">
        <v>122</v>
      </c>
      <c r="I10" t="n">
        <v>595</v>
      </c>
      <c r="J10" s="2" t="n">
        <v>230000</v>
      </c>
      <c r="K10" s="2" t="n">
        <v>174800</v>
      </c>
      <c r="L10" s="2" t="n">
        <v>55200</v>
      </c>
      <c r="M10" s="3" t="n">
        <v>0.02892366050260787</v>
      </c>
    </row>
    <row r="11">
      <c r="A11" t="inlineStr">
        <is>
          <t>RG010</t>
        </is>
      </c>
      <c r="B11" t="inlineStr">
        <is>
          <t>2023-02</t>
        </is>
      </c>
      <c r="C11" t="inlineStr">
        <is>
          <t>Gears</t>
        </is>
      </c>
      <c r="D11" t="inlineStr">
        <is>
          <t>North</t>
        </is>
      </c>
      <c r="E11" t="inlineStr">
        <is>
          <t>OEM</t>
        </is>
      </c>
      <c r="F11" t="n">
        <v>9446</v>
      </c>
      <c r="G11" t="n">
        <v>8510</v>
      </c>
      <c r="H11" t="n">
        <v>236</v>
      </c>
      <c r="I11" t="n">
        <v>1016</v>
      </c>
      <c r="J11" s="2" t="n">
        <v>394800</v>
      </c>
      <c r="K11" s="2" t="n">
        <v>276400</v>
      </c>
      <c r="L11" s="2" t="n">
        <v>118400</v>
      </c>
      <c r="M11" s="3" t="n">
        <v>0.02498412026254499</v>
      </c>
    </row>
    <row r="12">
      <c r="A12" t="inlineStr">
        <is>
          <t>RG011</t>
        </is>
      </c>
      <c r="B12" t="inlineStr">
        <is>
          <t>2023-02</t>
        </is>
      </c>
      <c r="C12" t="inlineStr">
        <is>
          <t>Gears</t>
        </is>
      </c>
      <c r="D12" t="inlineStr">
        <is>
          <t>South</t>
        </is>
      </c>
      <c r="E12" t="inlineStr">
        <is>
          <t>OEM</t>
        </is>
      </c>
      <c r="F12" t="n">
        <v>8415</v>
      </c>
      <c r="G12" t="n">
        <v>7513</v>
      </c>
      <c r="H12" t="n">
        <v>210</v>
      </c>
      <c r="I12" t="n">
        <v>997</v>
      </c>
      <c r="J12" s="2" t="n">
        <v>345000</v>
      </c>
      <c r="K12" s="2" t="n">
        <v>245000</v>
      </c>
      <c r="L12" s="2" t="n">
        <v>100000</v>
      </c>
      <c r="M12" s="3" t="n">
        <v>0.0249554367201426</v>
      </c>
    </row>
    <row r="13">
      <c r="A13" t="inlineStr">
        <is>
          <t>RG012</t>
        </is>
      </c>
      <c r="B13" t="inlineStr">
        <is>
          <t>2023-02</t>
        </is>
      </c>
      <c r="C13" t="inlineStr">
        <is>
          <t>Gears</t>
        </is>
      </c>
      <c r="D13" t="inlineStr">
        <is>
          <t>West</t>
        </is>
      </c>
      <c r="E13" t="inlineStr">
        <is>
          <t>OEM</t>
        </is>
      </c>
      <c r="F13" t="n">
        <v>8055</v>
      </c>
      <c r="G13" t="n">
        <v>7128</v>
      </c>
      <c r="H13" t="n">
        <v>201</v>
      </c>
      <c r="I13" t="n">
        <v>1037</v>
      </c>
      <c r="J13" s="2" t="n">
        <v>324000</v>
      </c>
      <c r="K13" s="2" t="n">
        <v>233300</v>
      </c>
      <c r="L13" s="2" t="n">
        <v>90700</v>
      </c>
      <c r="M13" s="3" t="n">
        <v>0.02495344506517691</v>
      </c>
    </row>
    <row r="14">
      <c r="A14" t="inlineStr">
        <is>
          <t>RG013</t>
        </is>
      </c>
      <c r="B14" t="inlineStr">
        <is>
          <t>2023-02</t>
        </is>
      </c>
      <c r="C14" t="inlineStr">
        <is>
          <t>Shafts</t>
        </is>
      </c>
      <c r="D14" t="inlineStr">
        <is>
          <t>North</t>
        </is>
      </c>
      <c r="E14" t="inlineStr">
        <is>
          <t>Distributor</t>
        </is>
      </c>
      <c r="F14" t="n">
        <v>6692</v>
      </c>
      <c r="G14" t="n">
        <v>6029</v>
      </c>
      <c r="H14" t="n">
        <v>181</v>
      </c>
      <c r="I14" t="n">
        <v>743</v>
      </c>
      <c r="J14" s="2" t="n">
        <v>329400</v>
      </c>
      <c r="K14" s="2" t="n">
        <v>237200</v>
      </c>
      <c r="L14" s="2" t="n">
        <v>92200</v>
      </c>
      <c r="M14" s="3" t="n">
        <v>0.02704722056186491</v>
      </c>
    </row>
    <row r="15">
      <c r="A15" t="inlineStr">
        <is>
          <t>RG014</t>
        </is>
      </c>
      <c r="B15" t="inlineStr">
        <is>
          <t>2023-02</t>
        </is>
      </c>
      <c r="C15" t="inlineStr">
        <is>
          <t>Shafts</t>
        </is>
      </c>
      <c r="D15" t="inlineStr">
        <is>
          <t>South</t>
        </is>
      </c>
      <c r="E15" t="inlineStr">
        <is>
          <t>Distributor</t>
        </is>
      </c>
      <c r="F15" t="n">
        <v>5989</v>
      </c>
      <c r="G15" t="n">
        <v>5347</v>
      </c>
      <c r="H15" t="n">
        <v>162</v>
      </c>
      <c r="I15" t="n">
        <v>737</v>
      </c>
      <c r="J15" s="2" t="n">
        <v>289200</v>
      </c>
      <c r="K15" s="2" t="n">
        <v>211100</v>
      </c>
      <c r="L15" s="2" t="n">
        <v>78100</v>
      </c>
      <c r="M15" s="3" t="n">
        <v>0.02704959091668058</v>
      </c>
    </row>
    <row r="16">
      <c r="A16" t="inlineStr">
        <is>
          <t>RG015</t>
        </is>
      </c>
      <c r="B16" t="inlineStr">
        <is>
          <t>2023-02</t>
        </is>
      </c>
      <c r="C16" t="inlineStr">
        <is>
          <t>Shafts</t>
        </is>
      </c>
      <c r="D16" t="inlineStr">
        <is>
          <t>West</t>
        </is>
      </c>
      <c r="E16" t="inlineStr">
        <is>
          <t>Distributor</t>
        </is>
      </c>
      <c r="F16" t="n">
        <v>5458</v>
      </c>
      <c r="G16" t="n">
        <v>4830</v>
      </c>
      <c r="H16" t="n">
        <v>147</v>
      </c>
      <c r="I16" t="n">
        <v>738</v>
      </c>
      <c r="J16" s="2" t="n">
        <v>258600</v>
      </c>
      <c r="K16" s="2" t="n">
        <v>191400</v>
      </c>
      <c r="L16" s="2" t="n">
        <v>67200</v>
      </c>
      <c r="M16" s="3" t="n">
        <v>0.02693294246976915</v>
      </c>
    </row>
    <row r="17">
      <c r="A17" t="inlineStr">
        <is>
          <t>RG016</t>
        </is>
      </c>
      <c r="B17" t="inlineStr">
        <is>
          <t>2023-02</t>
        </is>
      </c>
      <c r="C17" t="inlineStr">
        <is>
          <t>Bearings</t>
        </is>
      </c>
      <c r="D17" t="inlineStr">
        <is>
          <t>North</t>
        </is>
      </c>
      <c r="E17" t="inlineStr">
        <is>
          <t>OEM</t>
        </is>
      </c>
      <c r="F17" t="n">
        <v>5338</v>
      </c>
      <c r="G17" t="n">
        <v>4809</v>
      </c>
      <c r="H17" t="n">
        <v>155</v>
      </c>
      <c r="I17" t="n">
        <v>609</v>
      </c>
      <c r="J17" s="2" t="n">
        <v>302400</v>
      </c>
      <c r="K17" s="2" t="n">
        <v>223800</v>
      </c>
      <c r="L17" s="2" t="n">
        <v>78600</v>
      </c>
      <c r="M17" s="3" t="n">
        <v>0.02903709254402398</v>
      </c>
    </row>
    <row r="18">
      <c r="A18" t="inlineStr">
        <is>
          <t>RG017</t>
        </is>
      </c>
      <c r="B18" t="inlineStr">
        <is>
          <t>2023-02</t>
        </is>
      </c>
      <c r="C18" t="inlineStr">
        <is>
          <t>Bearings</t>
        </is>
      </c>
      <c r="D18" t="inlineStr">
        <is>
          <t>South</t>
        </is>
      </c>
      <c r="E18" t="inlineStr">
        <is>
          <t>OEM</t>
        </is>
      </c>
      <c r="F18" t="n">
        <v>4545</v>
      </c>
      <c r="G18" t="n">
        <v>4058</v>
      </c>
      <c r="H18" t="n">
        <v>132</v>
      </c>
      <c r="I18" t="n">
        <v>582</v>
      </c>
      <c r="J18" s="2" t="n">
        <v>252600</v>
      </c>
      <c r="K18" s="2" t="n">
        <v>189400</v>
      </c>
      <c r="L18" s="2" t="n">
        <v>63200</v>
      </c>
      <c r="M18" s="3" t="n">
        <v>0.02904290429042904</v>
      </c>
    </row>
    <row r="19">
      <c r="A19" t="inlineStr">
        <is>
          <t>RG018</t>
        </is>
      </c>
      <c r="B19" t="inlineStr">
        <is>
          <t>2023-02</t>
        </is>
      </c>
      <c r="C19" t="inlineStr">
        <is>
          <t>Bearings</t>
        </is>
      </c>
      <c r="D19" t="inlineStr">
        <is>
          <t>West</t>
        </is>
      </c>
      <c r="E19" t="inlineStr">
        <is>
          <t>OEM</t>
        </is>
      </c>
      <c r="F19" t="n">
        <v>4424</v>
      </c>
      <c r="G19" t="n">
        <v>3915</v>
      </c>
      <c r="H19" t="n">
        <v>128</v>
      </c>
      <c r="I19" t="n">
        <v>619</v>
      </c>
      <c r="J19" s="2" t="n">
        <v>241200</v>
      </c>
      <c r="K19" s="2" t="n">
        <v>183300</v>
      </c>
      <c r="L19" s="2" t="n">
        <v>57900</v>
      </c>
      <c r="M19" s="3" t="n">
        <v>0.02893309222423146</v>
      </c>
    </row>
    <row r="20">
      <c r="A20" t="inlineStr">
        <is>
          <t>RG019</t>
        </is>
      </c>
      <c r="B20" t="inlineStr">
        <is>
          <t>2023-03</t>
        </is>
      </c>
      <c r="C20" t="inlineStr">
        <is>
          <t>Gears</t>
        </is>
      </c>
      <c r="D20" t="inlineStr">
        <is>
          <t>North</t>
        </is>
      </c>
      <c r="E20" t="inlineStr">
        <is>
          <t>Distributor</t>
        </is>
      </c>
      <c r="F20" t="n">
        <v>9870</v>
      </c>
      <c r="G20" t="n">
        <v>8892</v>
      </c>
      <c r="H20" t="n">
        <v>247</v>
      </c>
      <c r="I20" t="n">
        <v>1058</v>
      </c>
      <c r="J20" s="2" t="n">
        <v>412500</v>
      </c>
      <c r="K20" s="2" t="n">
        <v>288800</v>
      </c>
      <c r="L20" s="2" t="n">
        <v>123700</v>
      </c>
      <c r="M20" s="3" t="n">
        <v>0.02502532928064843</v>
      </c>
    </row>
    <row r="21">
      <c r="A21" t="inlineStr">
        <is>
          <t>RG020</t>
        </is>
      </c>
      <c r="B21" t="inlineStr">
        <is>
          <t>2023-03</t>
        </is>
      </c>
      <c r="C21" t="inlineStr">
        <is>
          <t>Gears</t>
        </is>
      </c>
      <c r="D21" t="inlineStr">
        <is>
          <t>South</t>
        </is>
      </c>
      <c r="E21" t="inlineStr">
        <is>
          <t>Distributor</t>
        </is>
      </c>
      <c r="F21" t="n">
        <v>8798</v>
      </c>
      <c r="G21" t="n">
        <v>7855</v>
      </c>
      <c r="H21" t="n">
        <v>220</v>
      </c>
      <c r="I21" t="n">
        <v>1038</v>
      </c>
      <c r="J21" s="2" t="n">
        <v>360700</v>
      </c>
      <c r="K21" s="2" t="n">
        <v>256100</v>
      </c>
      <c r="L21" s="2" t="n">
        <v>104600</v>
      </c>
      <c r="M21" s="3" t="n">
        <v>0.02500568310979768</v>
      </c>
    </row>
    <row r="22">
      <c r="A22" t="inlineStr">
        <is>
          <t>RG021</t>
        </is>
      </c>
      <c r="B22" t="inlineStr">
        <is>
          <t>2023-03</t>
        </is>
      </c>
      <c r="C22" t="inlineStr">
        <is>
          <t>Gears</t>
        </is>
      </c>
      <c r="D22" t="inlineStr">
        <is>
          <t>West</t>
        </is>
      </c>
      <c r="E22" t="inlineStr">
        <is>
          <t>Distributor</t>
        </is>
      </c>
      <c r="F22" t="n">
        <v>8425</v>
      </c>
      <c r="G22" t="n">
        <v>7456</v>
      </c>
      <c r="H22" t="n">
        <v>211</v>
      </c>
      <c r="I22" t="n">
        <v>1079</v>
      </c>
      <c r="J22" s="2" t="n">
        <v>338900</v>
      </c>
      <c r="K22" s="2" t="n">
        <v>244000</v>
      </c>
      <c r="L22" s="2" t="n">
        <v>94900</v>
      </c>
      <c r="M22" s="3" t="n">
        <v>0.02504451038575668</v>
      </c>
    </row>
    <row r="23">
      <c r="A23" t="inlineStr">
        <is>
          <t>RG022</t>
        </is>
      </c>
      <c r="B23" t="inlineStr">
        <is>
          <t>2023-03</t>
        </is>
      </c>
      <c r="C23" t="inlineStr">
        <is>
          <t>Shafts</t>
        </is>
      </c>
      <c r="D23" t="inlineStr">
        <is>
          <t>North</t>
        </is>
      </c>
      <c r="E23" t="inlineStr">
        <is>
          <t>OEM</t>
        </is>
      </c>
      <c r="F23" t="n">
        <v>6994</v>
      </c>
      <c r="G23" t="n">
        <v>6301</v>
      </c>
      <c r="H23" t="n">
        <v>189</v>
      </c>
      <c r="I23" t="n">
        <v>773</v>
      </c>
      <c r="J23" s="2" t="n">
        <v>344300</v>
      </c>
      <c r="K23" s="2" t="n">
        <v>247900</v>
      </c>
      <c r="L23" s="2" t="n">
        <v>96400</v>
      </c>
      <c r="M23" s="3" t="n">
        <v>0.02702316271089505</v>
      </c>
    </row>
    <row r="24">
      <c r="A24" t="inlineStr">
        <is>
          <t>RG023</t>
        </is>
      </c>
      <c r="B24" t="inlineStr">
        <is>
          <t>2023-03</t>
        </is>
      </c>
      <c r="C24" t="inlineStr">
        <is>
          <t>Shafts</t>
        </is>
      </c>
      <c r="D24" t="inlineStr">
        <is>
          <t>South</t>
        </is>
      </c>
      <c r="E24" t="inlineStr">
        <is>
          <t>OEM</t>
        </is>
      </c>
      <c r="F24" t="n">
        <v>6264</v>
      </c>
      <c r="G24" t="n">
        <v>5593</v>
      </c>
      <c r="H24" t="n">
        <v>169</v>
      </c>
      <c r="I24" t="n">
        <v>766</v>
      </c>
      <c r="J24" s="2" t="n">
        <v>302500</v>
      </c>
      <c r="K24" s="2" t="n">
        <v>220800</v>
      </c>
      <c r="L24" s="2" t="n">
        <v>81700</v>
      </c>
      <c r="M24" s="3" t="n">
        <v>0.02697956577266922</v>
      </c>
    </row>
    <row r="25">
      <c r="A25" t="inlineStr">
        <is>
          <t>RG024</t>
        </is>
      </c>
      <c r="B25" t="inlineStr">
        <is>
          <t>2023-03</t>
        </is>
      </c>
      <c r="C25" t="inlineStr">
        <is>
          <t>Shafts</t>
        </is>
      </c>
      <c r="D25" t="inlineStr">
        <is>
          <t>West</t>
        </is>
      </c>
      <c r="E25" t="inlineStr">
        <is>
          <t>OEM</t>
        </is>
      </c>
      <c r="F25" t="n">
        <v>5713</v>
      </c>
      <c r="G25" t="n">
        <v>5056</v>
      </c>
      <c r="H25" t="n">
        <v>154</v>
      </c>
      <c r="I25" t="n">
        <v>767</v>
      </c>
      <c r="J25" s="2" t="n">
        <v>270700</v>
      </c>
      <c r="K25" s="2" t="n">
        <v>200300</v>
      </c>
      <c r="L25" s="2" t="n">
        <v>70400</v>
      </c>
      <c r="M25" s="3" t="n">
        <v>0.0269560651146508</v>
      </c>
    </row>
    <row r="26">
      <c r="A26" t="inlineStr">
        <is>
          <t>RG025</t>
        </is>
      </c>
      <c r="B26" t="inlineStr">
        <is>
          <t>2023-03</t>
        </is>
      </c>
      <c r="C26" t="inlineStr">
        <is>
          <t>Bearings</t>
        </is>
      </c>
      <c r="D26" t="inlineStr">
        <is>
          <t>North</t>
        </is>
      </c>
      <c r="E26" t="inlineStr">
        <is>
          <t>Distributor</t>
        </is>
      </c>
      <c r="F26" t="n">
        <v>5580</v>
      </c>
      <c r="G26" t="n">
        <v>5027</v>
      </c>
      <c r="H26" t="n">
        <v>162</v>
      </c>
      <c r="I26" t="n">
        <v>633</v>
      </c>
      <c r="J26" s="2" t="n">
        <v>316100</v>
      </c>
      <c r="K26" s="2" t="n">
        <v>233900</v>
      </c>
      <c r="L26" s="2" t="n">
        <v>82200</v>
      </c>
      <c r="M26" s="3" t="n">
        <v>0.02903225806451613</v>
      </c>
    </row>
    <row r="27">
      <c r="A27" t="inlineStr">
        <is>
          <t>RG026</t>
        </is>
      </c>
      <c r="B27" t="inlineStr">
        <is>
          <t>2023-03</t>
        </is>
      </c>
      <c r="C27" t="inlineStr">
        <is>
          <t>Bearings</t>
        </is>
      </c>
      <c r="D27" t="inlineStr">
        <is>
          <t>South</t>
        </is>
      </c>
      <c r="E27" t="inlineStr">
        <is>
          <t>Distributor</t>
        </is>
      </c>
      <c r="F27" t="n">
        <v>4756</v>
      </c>
      <c r="G27" t="n">
        <v>4246</v>
      </c>
      <c r="H27" t="n">
        <v>138</v>
      </c>
      <c r="I27" t="n">
        <v>605</v>
      </c>
      <c r="J27" s="2" t="n">
        <v>264300</v>
      </c>
      <c r="K27" s="2" t="n">
        <v>198200</v>
      </c>
      <c r="L27" s="2" t="n">
        <v>66100</v>
      </c>
      <c r="M27" s="3" t="n">
        <v>0.02901597981497056</v>
      </c>
    </row>
    <row r="28">
      <c r="A28" t="inlineStr">
        <is>
          <t>RG027</t>
        </is>
      </c>
      <c r="B28" t="inlineStr">
        <is>
          <t>2023-03</t>
        </is>
      </c>
      <c r="C28" t="inlineStr">
        <is>
          <t>Bearings</t>
        </is>
      </c>
      <c r="D28" t="inlineStr">
        <is>
          <t>West</t>
        </is>
      </c>
      <c r="E28" t="inlineStr">
        <is>
          <t>Distributor</t>
        </is>
      </c>
      <c r="F28" t="n">
        <v>4631</v>
      </c>
      <c r="G28" t="n">
        <v>4098</v>
      </c>
      <c r="H28" t="n">
        <v>134</v>
      </c>
      <c r="I28" t="n">
        <v>643</v>
      </c>
      <c r="J28" s="2" t="n">
        <v>252500</v>
      </c>
      <c r="K28" s="2" t="n">
        <v>191900</v>
      </c>
      <c r="L28" s="2" t="n">
        <v>60600</v>
      </c>
      <c r="M28" s="3" t="n">
        <v>0.02893543511120708</v>
      </c>
    </row>
    <row r="29">
      <c r="A29" t="inlineStr">
        <is>
          <t>RG028</t>
        </is>
      </c>
      <c r="B29" t="inlineStr">
        <is>
          <t>2023-04</t>
        </is>
      </c>
      <c r="C29" t="inlineStr">
        <is>
          <t>Gears</t>
        </is>
      </c>
      <c r="D29" t="inlineStr">
        <is>
          <t>North</t>
        </is>
      </c>
      <c r="E29" t="inlineStr">
        <is>
          <t>OEM</t>
        </is>
      </c>
      <c r="F29" t="n">
        <v>10293</v>
      </c>
      <c r="G29" t="n">
        <v>9273</v>
      </c>
      <c r="H29" t="n">
        <v>257</v>
      </c>
      <c r="I29" t="n">
        <v>1100</v>
      </c>
      <c r="J29" s="2" t="n">
        <v>430200</v>
      </c>
      <c r="K29" s="2" t="n">
        <v>301100</v>
      </c>
      <c r="L29" s="2" t="n">
        <v>129100</v>
      </c>
      <c r="M29" s="3" t="n">
        <v>0.02496842514330127</v>
      </c>
    </row>
    <row r="30">
      <c r="A30" t="inlineStr">
        <is>
          <t>RG029</t>
        </is>
      </c>
      <c r="B30" t="inlineStr">
        <is>
          <t>2023-04</t>
        </is>
      </c>
      <c r="C30" t="inlineStr">
        <is>
          <t>Gears</t>
        </is>
      </c>
      <c r="D30" t="inlineStr">
        <is>
          <t>South</t>
        </is>
      </c>
      <c r="E30" t="inlineStr">
        <is>
          <t>OEM</t>
        </is>
      </c>
      <c r="F30" t="n">
        <v>9181</v>
      </c>
      <c r="G30" t="n">
        <v>8197</v>
      </c>
      <c r="H30" t="n">
        <v>230</v>
      </c>
      <c r="I30" t="n">
        <v>1079</v>
      </c>
      <c r="J30" s="2" t="n">
        <v>376400</v>
      </c>
      <c r="K30" s="2" t="n">
        <v>267200</v>
      </c>
      <c r="L30" s="2" t="n">
        <v>109200</v>
      </c>
      <c r="M30" s="3" t="n">
        <v>0.02505173728352031</v>
      </c>
    </row>
    <row r="31">
      <c r="A31" t="inlineStr">
        <is>
          <t>RG030</t>
        </is>
      </c>
      <c r="B31" t="inlineStr">
        <is>
          <t>2023-04</t>
        </is>
      </c>
      <c r="C31" t="inlineStr">
        <is>
          <t>Gears</t>
        </is>
      </c>
      <c r="D31" t="inlineStr">
        <is>
          <t>West</t>
        </is>
      </c>
      <c r="E31" t="inlineStr">
        <is>
          <t>OEM</t>
        </is>
      </c>
      <c r="F31" t="n">
        <v>8796</v>
      </c>
      <c r="G31" t="n">
        <v>7784</v>
      </c>
      <c r="H31" t="n">
        <v>220</v>
      </c>
      <c r="I31" t="n">
        <v>1122</v>
      </c>
      <c r="J31" s="2" t="n">
        <v>353800</v>
      </c>
      <c r="K31" s="2" t="n">
        <v>254700</v>
      </c>
      <c r="L31" s="2" t="n">
        <v>99100</v>
      </c>
      <c r="M31" s="3" t="n">
        <v>0.02501136880400182</v>
      </c>
    </row>
    <row r="32">
      <c r="A32" t="inlineStr">
        <is>
          <t>RG031</t>
        </is>
      </c>
      <c r="B32" t="inlineStr">
        <is>
          <t>2023-04</t>
        </is>
      </c>
      <c r="C32" t="inlineStr">
        <is>
          <t>Shafts</t>
        </is>
      </c>
      <c r="D32" t="inlineStr">
        <is>
          <t>North</t>
        </is>
      </c>
      <c r="E32" t="inlineStr">
        <is>
          <t>Distributor</t>
        </is>
      </c>
      <c r="F32" t="n">
        <v>7297</v>
      </c>
      <c r="G32" t="n">
        <v>6574</v>
      </c>
      <c r="H32" t="n">
        <v>197</v>
      </c>
      <c r="I32" t="n">
        <v>803</v>
      </c>
      <c r="J32" s="2" t="n">
        <v>359200</v>
      </c>
      <c r="K32" s="2" t="n">
        <v>258600</v>
      </c>
      <c r="L32" s="2" t="n">
        <v>100600</v>
      </c>
      <c r="M32" s="3" t="n">
        <v>0.02699739619021516</v>
      </c>
    </row>
    <row r="33">
      <c r="A33" t="inlineStr">
        <is>
          <t>RG032</t>
        </is>
      </c>
      <c r="B33" t="inlineStr">
        <is>
          <t>2023-04</t>
        </is>
      </c>
      <c r="C33" t="inlineStr">
        <is>
          <t>Shafts</t>
        </is>
      </c>
      <c r="D33" t="inlineStr">
        <is>
          <t>South</t>
        </is>
      </c>
      <c r="E33" t="inlineStr">
        <is>
          <t>Distributor</t>
        </is>
      </c>
      <c r="F33" t="n">
        <v>6540</v>
      </c>
      <c r="G33" t="n">
        <v>5839</v>
      </c>
      <c r="H33" t="n">
        <v>177</v>
      </c>
      <c r="I33" t="n">
        <v>796</v>
      </c>
      <c r="J33" s="2" t="n">
        <v>315800</v>
      </c>
      <c r="K33" s="2" t="n">
        <v>230500</v>
      </c>
      <c r="L33" s="2" t="n">
        <v>85300</v>
      </c>
      <c r="M33" s="3" t="n">
        <v>0.02706422018348624</v>
      </c>
    </row>
    <row r="34">
      <c r="A34" t="inlineStr">
        <is>
          <t>RG033</t>
        </is>
      </c>
      <c r="B34" t="inlineStr">
        <is>
          <t>2023-04</t>
        </is>
      </c>
      <c r="C34" t="inlineStr">
        <is>
          <t>Shafts</t>
        </is>
      </c>
      <c r="D34" t="inlineStr">
        <is>
          <t>West</t>
        </is>
      </c>
      <c r="E34" t="inlineStr">
        <is>
          <t>Distributor</t>
        </is>
      </c>
      <c r="F34" t="n">
        <v>5969</v>
      </c>
      <c r="G34" t="n">
        <v>5282</v>
      </c>
      <c r="H34" t="n">
        <v>161</v>
      </c>
      <c r="I34" t="n">
        <v>797</v>
      </c>
      <c r="J34" s="2" t="n">
        <v>282800</v>
      </c>
      <c r="K34" s="2" t="n">
        <v>209300</v>
      </c>
      <c r="L34" s="2" t="n">
        <v>73500</v>
      </c>
      <c r="M34" s="3" t="n">
        <v>0.02697269224325683</v>
      </c>
    </row>
    <row r="35">
      <c r="A35" t="inlineStr">
        <is>
          <t>RG034</t>
        </is>
      </c>
      <c r="B35" t="inlineStr">
        <is>
          <t>2023-04</t>
        </is>
      </c>
      <c r="C35" t="inlineStr">
        <is>
          <t>Bearings</t>
        </is>
      </c>
      <c r="D35" t="inlineStr">
        <is>
          <t>North</t>
        </is>
      </c>
      <c r="E35" t="inlineStr">
        <is>
          <t>OEM</t>
        </is>
      </c>
      <c r="F35" t="n">
        <v>5821</v>
      </c>
      <c r="G35" t="n">
        <v>5244</v>
      </c>
      <c r="H35" t="n">
        <v>169</v>
      </c>
      <c r="I35" t="n">
        <v>657</v>
      </c>
      <c r="J35" s="2" t="n">
        <v>329800</v>
      </c>
      <c r="K35" s="2" t="n">
        <v>244100</v>
      </c>
      <c r="L35" s="2" t="n">
        <v>85700</v>
      </c>
      <c r="M35" s="3" t="n">
        <v>0.02903281223157533</v>
      </c>
    </row>
    <row r="36">
      <c r="A36" t="inlineStr">
        <is>
          <t>RG035</t>
        </is>
      </c>
      <c r="B36" t="inlineStr">
        <is>
          <t>2023-04</t>
        </is>
      </c>
      <c r="C36" t="inlineStr">
        <is>
          <t>Bearings</t>
        </is>
      </c>
      <c r="D36" t="inlineStr">
        <is>
          <t>South</t>
        </is>
      </c>
      <c r="E36" t="inlineStr">
        <is>
          <t>OEM</t>
        </is>
      </c>
      <c r="F36" t="n">
        <v>4966</v>
      </c>
      <c r="G36" t="n">
        <v>4434</v>
      </c>
      <c r="H36" t="n">
        <v>144</v>
      </c>
      <c r="I36" t="n">
        <v>627</v>
      </c>
      <c r="J36" s="2" t="n">
        <v>276000</v>
      </c>
      <c r="K36" s="2" t="n">
        <v>207000</v>
      </c>
      <c r="L36" s="2" t="n">
        <v>69000</v>
      </c>
      <c r="M36" s="3" t="n">
        <v>0.02899718082964156</v>
      </c>
    </row>
    <row r="37">
      <c r="A37" t="inlineStr">
        <is>
          <t>RG036</t>
        </is>
      </c>
      <c r="B37" t="inlineStr">
        <is>
          <t>2023-04</t>
        </is>
      </c>
      <c r="C37" t="inlineStr">
        <is>
          <t>Bearings</t>
        </is>
      </c>
      <c r="D37" t="inlineStr">
        <is>
          <t>West</t>
        </is>
      </c>
      <c r="E37" t="inlineStr">
        <is>
          <t>OEM</t>
        </is>
      </c>
      <c r="F37" t="n">
        <v>4838</v>
      </c>
      <c r="G37" t="n">
        <v>4281</v>
      </c>
      <c r="H37" t="n">
        <v>140</v>
      </c>
      <c r="I37" t="n">
        <v>667</v>
      </c>
      <c r="J37" s="2" t="n">
        <v>263800</v>
      </c>
      <c r="K37" s="2" t="n">
        <v>200500</v>
      </c>
      <c r="L37" s="2" t="n">
        <v>63300</v>
      </c>
      <c r="M37" s="3" t="n">
        <v>0.02893757751136834</v>
      </c>
    </row>
    <row r="38">
      <c r="A38" t="inlineStr">
        <is>
          <t>RG037</t>
        </is>
      </c>
      <c r="B38" t="inlineStr">
        <is>
          <t>2023-05</t>
        </is>
      </c>
      <c r="C38" t="inlineStr">
        <is>
          <t>Gears</t>
        </is>
      </c>
      <c r="D38" t="inlineStr">
        <is>
          <t>North</t>
        </is>
      </c>
      <c r="E38" t="inlineStr">
        <is>
          <t>Distributor</t>
        </is>
      </c>
      <c r="F38" t="n">
        <v>10715</v>
      </c>
      <c r="G38" t="n">
        <v>9653</v>
      </c>
      <c r="H38" t="n">
        <v>268</v>
      </c>
      <c r="I38" t="n">
        <v>1142</v>
      </c>
      <c r="J38" s="2" t="n">
        <v>447800</v>
      </c>
      <c r="K38" s="2" t="n">
        <v>313500</v>
      </c>
      <c r="L38" s="2" t="n">
        <v>134300</v>
      </c>
      <c r="M38" s="3" t="n">
        <v>0.02501166588894074</v>
      </c>
    </row>
    <row r="39">
      <c r="A39" t="inlineStr">
        <is>
          <t>RG038</t>
        </is>
      </c>
      <c r="B39" t="inlineStr">
        <is>
          <t>2023-05</t>
        </is>
      </c>
      <c r="C39" t="inlineStr">
        <is>
          <t>Gears</t>
        </is>
      </c>
      <c r="D39" t="inlineStr">
        <is>
          <t>South</t>
        </is>
      </c>
      <c r="E39" t="inlineStr">
        <is>
          <t>Distributor</t>
        </is>
      </c>
      <c r="F39" t="n">
        <v>9561</v>
      </c>
      <c r="G39" t="n">
        <v>8537</v>
      </c>
      <c r="H39" t="n">
        <v>239</v>
      </c>
      <c r="I39" t="n">
        <v>1119</v>
      </c>
      <c r="J39" s="2" t="n">
        <v>392000</v>
      </c>
      <c r="K39" s="2" t="n">
        <v>278300</v>
      </c>
      <c r="L39" s="2" t="n">
        <v>113700</v>
      </c>
      <c r="M39" s="3" t="n">
        <v>0.02499738521075201</v>
      </c>
    </row>
    <row r="40">
      <c r="A40" t="inlineStr">
        <is>
          <t>RG039</t>
        </is>
      </c>
      <c r="B40" t="inlineStr">
        <is>
          <t>2023-05</t>
        </is>
      </c>
      <c r="C40" t="inlineStr">
        <is>
          <t>Gears</t>
        </is>
      </c>
      <c r="D40" t="inlineStr">
        <is>
          <t>West</t>
        </is>
      </c>
      <c r="E40" t="inlineStr">
        <is>
          <t>Distributor</t>
        </is>
      </c>
      <c r="F40" t="n">
        <v>9163</v>
      </c>
      <c r="G40" t="n">
        <v>8109</v>
      </c>
      <c r="H40" t="n">
        <v>229</v>
      </c>
      <c r="I40" t="n">
        <v>1164</v>
      </c>
      <c r="J40" s="2" t="n">
        <v>368600</v>
      </c>
      <c r="K40" s="2" t="n">
        <v>265400</v>
      </c>
      <c r="L40" s="2" t="n">
        <v>103200</v>
      </c>
      <c r="M40" s="3" t="n">
        <v>0.0249918149077813</v>
      </c>
    </row>
    <row r="41">
      <c r="A41" t="inlineStr">
        <is>
          <t>RG040</t>
        </is>
      </c>
      <c r="B41" t="inlineStr">
        <is>
          <t>2023-05</t>
        </is>
      </c>
      <c r="C41" t="inlineStr">
        <is>
          <t>Shafts</t>
        </is>
      </c>
      <c r="D41" t="inlineStr">
        <is>
          <t>North</t>
        </is>
      </c>
      <c r="E41" t="inlineStr">
        <is>
          <t>OEM</t>
        </is>
      </c>
      <c r="F41" t="n">
        <v>7598</v>
      </c>
      <c r="G41" t="n">
        <v>6845</v>
      </c>
      <c r="H41" t="n">
        <v>205</v>
      </c>
      <c r="I41" t="n">
        <v>833</v>
      </c>
      <c r="J41" s="2" t="n">
        <v>374000</v>
      </c>
      <c r="K41" s="2" t="n">
        <v>269300</v>
      </c>
      <c r="L41" s="2" t="n">
        <v>104700</v>
      </c>
      <c r="M41" s="3" t="n">
        <v>0.02698078441695183</v>
      </c>
    </row>
    <row r="42">
      <c r="A42" t="inlineStr">
        <is>
          <t>RG041</t>
        </is>
      </c>
      <c r="B42" t="inlineStr">
        <is>
          <t>2023-05</t>
        </is>
      </c>
      <c r="C42" t="inlineStr">
        <is>
          <t>Shafts</t>
        </is>
      </c>
      <c r="D42" t="inlineStr">
        <is>
          <t>South</t>
        </is>
      </c>
      <c r="E42" t="inlineStr">
        <is>
          <t>OEM</t>
        </is>
      </c>
      <c r="F42" t="n">
        <v>6813</v>
      </c>
      <c r="G42" t="n">
        <v>6083</v>
      </c>
      <c r="H42" t="n">
        <v>184</v>
      </c>
      <c r="I42" t="n">
        <v>825</v>
      </c>
      <c r="J42" s="2" t="n">
        <v>329000</v>
      </c>
      <c r="K42" s="2" t="n">
        <v>240200</v>
      </c>
      <c r="L42" s="2" t="n">
        <v>88800</v>
      </c>
      <c r="M42" s="3" t="n">
        <v>0.02700719213268751</v>
      </c>
    </row>
    <row r="43">
      <c r="A43" t="inlineStr">
        <is>
          <t>RG042</t>
        </is>
      </c>
      <c r="B43" t="inlineStr">
        <is>
          <t>2023-05</t>
        </is>
      </c>
      <c r="C43" t="inlineStr">
        <is>
          <t>Shafts</t>
        </is>
      </c>
      <c r="D43" t="inlineStr">
        <is>
          <t>West</t>
        </is>
      </c>
      <c r="E43" t="inlineStr">
        <is>
          <t>OEM</t>
        </is>
      </c>
      <c r="F43" t="n">
        <v>6223</v>
      </c>
      <c r="G43" t="n">
        <v>5507</v>
      </c>
      <c r="H43" t="n">
        <v>168</v>
      </c>
      <c r="I43" t="n">
        <v>826</v>
      </c>
      <c r="J43" s="2" t="n">
        <v>294800</v>
      </c>
      <c r="K43" s="2" t="n">
        <v>218200</v>
      </c>
      <c r="L43" s="2" t="n">
        <v>76600</v>
      </c>
      <c r="M43" s="3" t="n">
        <v>0.02699662542182227</v>
      </c>
    </row>
    <row r="44">
      <c r="A44" t="inlineStr">
        <is>
          <t>RG043</t>
        </is>
      </c>
      <c r="B44" t="inlineStr">
        <is>
          <t>2023-05</t>
        </is>
      </c>
      <c r="C44" t="inlineStr">
        <is>
          <t>Bearings</t>
        </is>
      </c>
      <c r="D44" t="inlineStr">
        <is>
          <t>North</t>
        </is>
      </c>
      <c r="E44" t="inlineStr">
        <is>
          <t>Distributor</t>
        </is>
      </c>
      <c r="F44" t="n">
        <v>6062</v>
      </c>
      <c r="G44" t="n">
        <v>5461</v>
      </c>
      <c r="H44" t="n">
        <v>176</v>
      </c>
      <c r="I44" t="n">
        <v>681</v>
      </c>
      <c r="J44" s="2" t="n">
        <v>343400</v>
      </c>
      <c r="K44" s="2" t="n">
        <v>254100</v>
      </c>
      <c r="L44" s="2" t="n">
        <v>89300</v>
      </c>
      <c r="M44" s="3" t="n">
        <v>0.02903332233586275</v>
      </c>
    </row>
    <row r="45">
      <c r="A45" t="inlineStr">
        <is>
          <t>RG044</t>
        </is>
      </c>
      <c r="B45" t="inlineStr">
        <is>
          <t>2023-05</t>
        </is>
      </c>
      <c r="C45" t="inlineStr">
        <is>
          <t>Bearings</t>
        </is>
      </c>
      <c r="D45" t="inlineStr">
        <is>
          <t>South</t>
        </is>
      </c>
      <c r="E45" t="inlineStr">
        <is>
          <t>Distributor</t>
        </is>
      </c>
      <c r="F45" t="n">
        <v>5174</v>
      </c>
      <c r="G45" t="n">
        <v>4620</v>
      </c>
      <c r="H45" t="n">
        <v>150</v>
      </c>
      <c r="I45" t="n">
        <v>649</v>
      </c>
      <c r="J45" s="2" t="n">
        <v>287600</v>
      </c>
      <c r="K45" s="2" t="n">
        <v>215700</v>
      </c>
      <c r="L45" s="2" t="n">
        <v>71900</v>
      </c>
      <c r="M45" s="3" t="n">
        <v>0.02899110939311944</v>
      </c>
    </row>
    <row r="46">
      <c r="A46" t="inlineStr">
        <is>
          <t>RG045</t>
        </is>
      </c>
      <c r="B46" t="inlineStr">
        <is>
          <t>2023-05</t>
        </is>
      </c>
      <c r="C46" t="inlineStr">
        <is>
          <t>Bearings</t>
        </is>
      </c>
      <c r="D46" t="inlineStr">
        <is>
          <t>West</t>
        </is>
      </c>
      <c r="E46" t="inlineStr">
        <is>
          <t>Distributor</t>
        </is>
      </c>
      <c r="F46" t="n">
        <v>5043</v>
      </c>
      <c r="G46" t="n">
        <v>4463</v>
      </c>
      <c r="H46" t="n">
        <v>146</v>
      </c>
      <c r="I46" t="n">
        <v>690</v>
      </c>
      <c r="J46" s="2" t="n">
        <v>275000</v>
      </c>
      <c r="K46" s="2" t="n">
        <v>209000</v>
      </c>
      <c r="L46" s="2" t="n">
        <v>66000</v>
      </c>
      <c r="M46" s="3" t="n">
        <v>0.02895102121752925</v>
      </c>
    </row>
    <row r="47">
      <c r="A47" t="inlineStr">
        <is>
          <t>RG046</t>
        </is>
      </c>
      <c r="B47" t="inlineStr">
        <is>
          <t>2023-06</t>
        </is>
      </c>
      <c r="C47" t="inlineStr">
        <is>
          <t>Gears</t>
        </is>
      </c>
      <c r="D47" t="inlineStr">
        <is>
          <t>North</t>
        </is>
      </c>
      <c r="E47" t="inlineStr">
        <is>
          <t>OEM</t>
        </is>
      </c>
      <c r="F47" t="n">
        <v>11138</v>
      </c>
      <c r="G47" t="n">
        <v>10034</v>
      </c>
      <c r="H47" t="n">
        <v>278</v>
      </c>
      <c r="I47" t="n">
        <v>1184</v>
      </c>
      <c r="J47" s="2" t="n">
        <v>465500</v>
      </c>
      <c r="K47" s="2" t="n">
        <v>325800</v>
      </c>
      <c r="L47" s="2" t="n">
        <v>139700</v>
      </c>
      <c r="M47" s="3" t="n">
        <v>0.0249595977733884</v>
      </c>
    </row>
    <row r="48">
      <c r="A48" t="inlineStr">
        <is>
          <t>RG047</t>
        </is>
      </c>
      <c r="B48" t="inlineStr">
        <is>
          <t>2023-06</t>
        </is>
      </c>
      <c r="C48" t="inlineStr">
        <is>
          <t>Gears</t>
        </is>
      </c>
      <c r="D48" t="inlineStr">
        <is>
          <t>South</t>
        </is>
      </c>
      <c r="E48" t="inlineStr">
        <is>
          <t>OEM</t>
        </is>
      </c>
      <c r="F48" t="n">
        <v>9944</v>
      </c>
      <c r="G48" t="n">
        <v>8879</v>
      </c>
      <c r="H48" t="n">
        <v>249</v>
      </c>
      <c r="I48" t="n">
        <v>1160</v>
      </c>
      <c r="J48" s="2" t="n">
        <v>407700</v>
      </c>
      <c r="K48" s="2" t="n">
        <v>289500</v>
      </c>
      <c r="L48" s="2" t="n">
        <v>118200</v>
      </c>
      <c r="M48" s="3" t="n">
        <v>0.0250402252614642</v>
      </c>
    </row>
    <row r="49">
      <c r="A49" t="inlineStr">
        <is>
          <t>RG048</t>
        </is>
      </c>
      <c r="B49" t="inlineStr">
        <is>
          <t>2023-06</t>
        </is>
      </c>
      <c r="C49" t="inlineStr">
        <is>
          <t>Gears</t>
        </is>
      </c>
      <c r="D49" t="inlineStr">
        <is>
          <t>West</t>
        </is>
      </c>
      <c r="E49" t="inlineStr">
        <is>
          <t>OEM</t>
        </is>
      </c>
      <c r="F49" t="n">
        <v>9534</v>
      </c>
      <c r="G49" t="n">
        <v>8437</v>
      </c>
      <c r="H49" t="n">
        <v>238</v>
      </c>
      <c r="I49" t="n">
        <v>1207</v>
      </c>
      <c r="J49" s="2" t="n">
        <v>383500</v>
      </c>
      <c r="K49" s="2" t="n">
        <v>276100</v>
      </c>
      <c r="L49" s="2" t="n">
        <v>107400</v>
      </c>
      <c r="M49" s="3" t="n">
        <v>0.0249632892804699</v>
      </c>
    </row>
    <row r="50">
      <c r="A50" t="inlineStr">
        <is>
          <t>RG049</t>
        </is>
      </c>
      <c r="B50" t="inlineStr">
        <is>
          <t>2023-06</t>
        </is>
      </c>
      <c r="C50" t="inlineStr">
        <is>
          <t>Shafts</t>
        </is>
      </c>
      <c r="D50" t="inlineStr">
        <is>
          <t>North</t>
        </is>
      </c>
      <c r="E50" t="inlineStr">
        <is>
          <t>Distributor</t>
        </is>
      </c>
      <c r="F50" t="n">
        <v>7901</v>
      </c>
      <c r="G50" t="n">
        <v>7118</v>
      </c>
      <c r="H50" t="n">
        <v>213</v>
      </c>
      <c r="I50" t="n">
        <v>863</v>
      </c>
      <c r="J50" s="2" t="n">
        <v>388900</v>
      </c>
      <c r="K50" s="2" t="n">
        <v>280000</v>
      </c>
      <c r="L50" s="2" t="n">
        <v>108900</v>
      </c>
      <c r="M50" s="3" t="n">
        <v>0.0269586128338185</v>
      </c>
    </row>
    <row r="51">
      <c r="A51" t="inlineStr">
        <is>
          <t>RG050</t>
        </is>
      </c>
      <c r="B51" t="inlineStr">
        <is>
          <t>2023-06</t>
        </is>
      </c>
      <c r="C51" t="inlineStr">
        <is>
          <t>Shafts</t>
        </is>
      </c>
      <c r="D51" t="inlineStr">
        <is>
          <t>South</t>
        </is>
      </c>
      <c r="E51" t="inlineStr">
        <is>
          <t>Distributor</t>
        </is>
      </c>
      <c r="F51" t="n">
        <v>7088</v>
      </c>
      <c r="G51" t="n">
        <v>6329</v>
      </c>
      <c r="H51" t="n">
        <v>191</v>
      </c>
      <c r="I51" t="n">
        <v>854</v>
      </c>
      <c r="J51" s="2" t="n">
        <v>342300</v>
      </c>
      <c r="K51" s="2" t="n">
        <v>249900</v>
      </c>
      <c r="L51" s="2" t="n">
        <v>92400</v>
      </c>
      <c r="M51" s="3" t="n">
        <v>0.0269469525959368</v>
      </c>
    </row>
    <row r="52">
      <c r="A52" t="inlineStr">
        <is>
          <t>RG051</t>
        </is>
      </c>
      <c r="B52" t="inlineStr">
        <is>
          <t>2023-06</t>
        </is>
      </c>
      <c r="C52" t="inlineStr">
        <is>
          <t>Shafts</t>
        </is>
      </c>
      <c r="D52" t="inlineStr">
        <is>
          <t>West</t>
        </is>
      </c>
      <c r="E52" t="inlineStr">
        <is>
          <t>Distributor</t>
        </is>
      </c>
      <c r="F52" t="n">
        <v>6476</v>
      </c>
      <c r="G52" t="n">
        <v>5731</v>
      </c>
      <c r="H52" t="n">
        <v>175</v>
      </c>
      <c r="I52" t="n">
        <v>855</v>
      </c>
      <c r="J52" s="2" t="n">
        <v>306800</v>
      </c>
      <c r="K52" s="2" t="n">
        <v>227000</v>
      </c>
      <c r="L52" s="2" t="n">
        <v>79800</v>
      </c>
      <c r="M52" s="3" t="n">
        <v>0.02702285361334157</v>
      </c>
    </row>
    <row r="53">
      <c r="A53" t="inlineStr">
        <is>
          <t>RG052</t>
        </is>
      </c>
      <c r="B53" t="inlineStr">
        <is>
          <t>2023-06</t>
        </is>
      </c>
      <c r="C53" t="inlineStr">
        <is>
          <t>Bearings</t>
        </is>
      </c>
      <c r="D53" t="inlineStr">
        <is>
          <t>North</t>
        </is>
      </c>
      <c r="E53" t="inlineStr">
        <is>
          <t>OEM</t>
        </is>
      </c>
      <c r="F53" t="n">
        <v>6303</v>
      </c>
      <c r="G53" t="n">
        <v>5678</v>
      </c>
      <c r="H53" t="n">
        <v>183</v>
      </c>
      <c r="I53" t="n">
        <v>705</v>
      </c>
      <c r="J53" s="2" t="n">
        <v>357100</v>
      </c>
      <c r="K53" s="2" t="n">
        <v>264300</v>
      </c>
      <c r="L53" s="2" t="n">
        <v>92800</v>
      </c>
      <c r="M53" s="3" t="n">
        <v>0.02903379343169919</v>
      </c>
    </row>
    <row r="54">
      <c r="A54" t="inlineStr">
        <is>
          <t>RG053</t>
        </is>
      </c>
      <c r="B54" t="inlineStr">
        <is>
          <t>2023-06</t>
        </is>
      </c>
      <c r="C54" t="inlineStr">
        <is>
          <t>Bearings</t>
        </is>
      </c>
      <c r="D54" t="inlineStr">
        <is>
          <t>South</t>
        </is>
      </c>
      <c r="E54" t="inlineStr">
        <is>
          <t>OEM</t>
        </is>
      </c>
      <c r="F54" t="n">
        <v>5384</v>
      </c>
      <c r="G54" t="n">
        <v>4807</v>
      </c>
      <c r="H54" t="n">
        <v>156</v>
      </c>
      <c r="I54" t="n">
        <v>672</v>
      </c>
      <c r="J54" s="2" t="n">
        <v>299200</v>
      </c>
      <c r="K54" s="2" t="n">
        <v>224400</v>
      </c>
      <c r="L54" s="2" t="n">
        <v>74800</v>
      </c>
      <c r="M54" s="3" t="n">
        <v>0.02897473997028232</v>
      </c>
    </row>
    <row r="55">
      <c r="A55" t="inlineStr">
        <is>
          <t>RG054</t>
        </is>
      </c>
      <c r="B55" t="inlineStr">
        <is>
          <t>2023-06</t>
        </is>
      </c>
      <c r="C55" t="inlineStr">
        <is>
          <t>Bearings</t>
        </is>
      </c>
      <c r="D55" t="inlineStr">
        <is>
          <t>West</t>
        </is>
      </c>
      <c r="E55" t="inlineStr">
        <is>
          <t>OEM</t>
        </is>
      </c>
      <c r="F55" t="n">
        <v>5249</v>
      </c>
      <c r="G55" t="n">
        <v>4645</v>
      </c>
      <c r="H55" t="n">
        <v>152</v>
      </c>
      <c r="I55" t="n">
        <v>714</v>
      </c>
      <c r="J55" s="2" t="n">
        <v>286200</v>
      </c>
      <c r="K55" s="2" t="n">
        <v>217500</v>
      </c>
      <c r="L55" s="2" t="n">
        <v>68700</v>
      </c>
      <c r="M55" s="3" t="n">
        <v>0.02895789674223662</v>
      </c>
    </row>
  </sheetData>
  <autoFilter ref="A1:M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8" customWidth="1" min="4" max="4"/>
    <col width="13" customWidth="1" min="5" max="5"/>
    <col width="13" customWidth="1" min="6" max="6"/>
    <col width="19" customWidth="1" min="7" max="7"/>
    <col width="14" customWidth="1" min="8" max="8"/>
    <col width="21" customWidth="1" min="9" max="9"/>
    <col width="21" customWidth="1" min="10" max="10"/>
    <col width="20" customWidth="1" min="11" max="11"/>
    <col width="22" customWidth="1" min="12" max="12"/>
  </cols>
  <sheetData>
    <row r="1">
      <c r="A1" s="1" t="inlineStr">
        <is>
          <t>Region</t>
        </is>
      </c>
      <c r="B1" s="1" t="inlineStr">
        <is>
          <t>Revenue_Rank</t>
        </is>
      </c>
      <c r="C1" s="1" t="inlineStr">
        <is>
          <t>Revenue</t>
        </is>
      </c>
      <c r="D1" s="1" t="inlineStr">
        <is>
          <t>Production_Units</t>
        </is>
      </c>
      <c r="E1" s="1" t="inlineStr">
        <is>
          <t>Sales_Units</t>
        </is>
      </c>
      <c r="F1" s="1" t="inlineStr">
        <is>
          <t>Scrap_Units</t>
        </is>
      </c>
      <c r="G1" s="1" t="inlineStr">
        <is>
          <t>Closing_Inventory</t>
        </is>
      </c>
      <c r="H1" s="1" t="inlineStr">
        <is>
          <t>Gross_Margin</t>
        </is>
      </c>
      <c r="I1" s="1" t="inlineStr">
        <is>
          <t>Margin_%</t>
        </is>
      </c>
      <c r="J1" s="1" t="inlineStr">
        <is>
          <t>Revenue_Share_%</t>
        </is>
      </c>
      <c r="K1" s="1" t="inlineStr">
        <is>
          <t>Sales_Conversion_%</t>
        </is>
      </c>
      <c r="L1" s="1" t="inlineStr">
        <is>
          <t>Scrap_Rate_%</t>
        </is>
      </c>
    </row>
    <row r="2">
      <c r="A2" t="inlineStr">
        <is>
          <t>North</t>
        </is>
      </c>
      <c r="B2" t="n">
        <v>1</v>
      </c>
      <c r="C2" s="2" t="n">
        <v>6576000</v>
      </c>
      <c r="D2" s="2" t="n">
        <v>137561</v>
      </c>
      <c r="E2" s="2" t="n">
        <v>123929</v>
      </c>
      <c r="F2" s="2" t="n">
        <v>3663</v>
      </c>
      <c r="G2" s="2" t="n">
        <v>837.3333333333334</v>
      </c>
      <c r="H2" s="4" t="n">
        <v>1853000</v>
      </c>
      <c r="I2" s="3" t="n">
        <v>0.2817822384428224</v>
      </c>
      <c r="J2" s="3" t="n">
        <v>0.3747072599531616</v>
      </c>
      <c r="K2" s="3" t="n">
        <v>0.9009021452301161</v>
      </c>
      <c r="L2" s="3" t="n">
        <v>0.02662818676805199</v>
      </c>
    </row>
    <row r="3">
      <c r="A3" t="inlineStr">
        <is>
          <t>South</t>
        </is>
      </c>
      <c r="B3" t="n">
        <v>2</v>
      </c>
      <c r="C3" s="2" t="n">
        <v>5686700</v>
      </c>
      <c r="D3" s="2" t="n">
        <v>121505</v>
      </c>
      <c r="E3" s="2" t="n">
        <v>108486</v>
      </c>
      <c r="F3" s="2" t="n">
        <v>3232</v>
      </c>
      <c r="G3" s="2" t="n">
        <v>818.2777777777778</v>
      </c>
      <c r="H3" s="4" t="n">
        <v>1547200</v>
      </c>
      <c r="I3" s="3" t="n">
        <v>0.2720734345050733</v>
      </c>
      <c r="J3" s="3" t="n">
        <v>0.324034029071722</v>
      </c>
      <c r="K3" s="3" t="n">
        <v>0.8928521460022222</v>
      </c>
      <c r="L3" s="3" t="n">
        <v>0.02659972840623843</v>
      </c>
    </row>
    <row r="4">
      <c r="A4" t="inlineStr">
        <is>
          <t>West</t>
        </is>
      </c>
      <c r="B4" t="n">
        <v>3</v>
      </c>
      <c r="C4" s="2" t="n">
        <v>5287000</v>
      </c>
      <c r="D4" s="2" t="n">
        <v>115106</v>
      </c>
      <c r="E4" s="2" t="n">
        <v>101863</v>
      </c>
      <c r="F4" s="2" t="n">
        <v>3059</v>
      </c>
      <c r="G4" s="2" t="n">
        <v>845.7222222222222</v>
      </c>
      <c r="H4" s="4" t="n">
        <v>1385200</v>
      </c>
      <c r="I4" s="3" t="n">
        <v>0.2620011348590883</v>
      </c>
      <c r="J4" s="3" t="n">
        <v>0.3012587109751164</v>
      </c>
      <c r="K4" s="3" t="n">
        <v>0.8849495247858495</v>
      </c>
      <c r="L4" s="3" t="n">
        <v>0.02657550431775928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5" customWidth="1" min="5" max="5"/>
  </cols>
  <sheetData>
    <row r="1">
      <c r="A1" s="1" t="inlineStr">
        <is>
          <t>Month</t>
        </is>
      </c>
      <c r="B1" s="1" t="inlineStr">
        <is>
          <t>North</t>
        </is>
      </c>
      <c r="C1" s="1" t="inlineStr">
        <is>
          <t>South</t>
        </is>
      </c>
      <c r="D1" s="1" t="inlineStr">
        <is>
          <t>West</t>
        </is>
      </c>
      <c r="E1" s="1" t="inlineStr">
        <is>
          <t>Total_Revenue</t>
        </is>
      </c>
    </row>
    <row r="2">
      <c r="A2" t="inlineStr">
        <is>
          <t>2023-01</t>
        </is>
      </c>
      <c r="B2" s="2" t="n">
        <v>980600</v>
      </c>
      <c r="C2" s="2" t="n">
        <v>846400</v>
      </c>
      <c r="D2" s="2" t="n">
        <v>785800</v>
      </c>
      <c r="E2" s="2" t="n">
        <v>2612800</v>
      </c>
    </row>
    <row r="3">
      <c r="A3" t="inlineStr">
        <is>
          <t>2023-02</t>
        </is>
      </c>
      <c r="B3" s="2" t="n">
        <v>1026600</v>
      </c>
      <c r="C3" s="2" t="n">
        <v>886800</v>
      </c>
      <c r="D3" s="2" t="n">
        <v>823800</v>
      </c>
      <c r="E3" s="2" t="n">
        <v>2737200</v>
      </c>
    </row>
    <row r="4">
      <c r="A4" t="inlineStr">
        <is>
          <t>2023-03</t>
        </is>
      </c>
      <c r="B4" s="2" t="n">
        <v>1072900</v>
      </c>
      <c r="C4" s="2" t="n">
        <v>927500</v>
      </c>
      <c r="D4" s="2" t="n">
        <v>862100</v>
      </c>
      <c r="E4" s="2" t="n">
        <v>2862500</v>
      </c>
    </row>
    <row r="5">
      <c r="A5" t="inlineStr">
        <is>
          <t>2023-04</t>
        </is>
      </c>
      <c r="B5" s="2" t="n">
        <v>1119200</v>
      </c>
      <c r="C5" s="2" t="n">
        <v>968200</v>
      </c>
      <c r="D5" s="2" t="n">
        <v>900400</v>
      </c>
      <c r="E5" s="2" t="n">
        <v>2987800</v>
      </c>
    </row>
    <row r="6">
      <c r="A6" t="inlineStr">
        <is>
          <t>2023-05</t>
        </is>
      </c>
      <c r="B6" s="2" t="n">
        <v>1165200</v>
      </c>
      <c r="C6" s="2" t="n">
        <v>1008600</v>
      </c>
      <c r="D6" s="2" t="n">
        <v>938400</v>
      </c>
      <c r="E6" s="2" t="n">
        <v>3112200</v>
      </c>
    </row>
    <row r="7">
      <c r="A7" t="inlineStr">
        <is>
          <t>2023-06</t>
        </is>
      </c>
      <c r="B7" s="2" t="n">
        <v>1211500</v>
      </c>
      <c r="C7" s="2" t="n">
        <v>1049200</v>
      </c>
      <c r="D7" s="2" t="n">
        <v>976500</v>
      </c>
      <c r="E7" s="2" t="n">
        <v>3237200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5" customWidth="1" min="5" max="5"/>
  </cols>
  <sheetData>
    <row r="1">
      <c r="A1" s="1" t="inlineStr">
        <is>
          <t>Product</t>
        </is>
      </c>
      <c r="B1" s="1" t="inlineStr">
        <is>
          <t>North</t>
        </is>
      </c>
      <c r="C1" s="1" t="inlineStr">
        <is>
          <t>South</t>
        </is>
      </c>
      <c r="D1" s="1" t="inlineStr">
        <is>
          <t>West</t>
        </is>
      </c>
      <c r="E1" s="1" t="inlineStr">
        <is>
          <t>Total_Revenue</t>
        </is>
      </c>
    </row>
    <row r="2">
      <c r="A2" t="inlineStr">
        <is>
          <t>Bearings</t>
        </is>
      </c>
      <c r="B2" s="2" t="n">
        <v>1937600</v>
      </c>
      <c r="C2" s="2" t="n">
        <v>1620700</v>
      </c>
      <c r="D2" s="2" t="n">
        <v>1548700</v>
      </c>
      <c r="E2" s="2" t="n">
        <v>5107000</v>
      </c>
    </row>
    <row r="3">
      <c r="A3" t="inlineStr">
        <is>
          <t>Gears</t>
        </is>
      </c>
      <c r="B3" s="2" t="n">
        <v>2528000</v>
      </c>
      <c r="C3" s="2" t="n">
        <v>2211200</v>
      </c>
      <c r="D3" s="2" t="n">
        <v>2078000</v>
      </c>
      <c r="E3" s="2" t="n">
        <v>6817200</v>
      </c>
    </row>
    <row r="4">
      <c r="A4" t="inlineStr">
        <is>
          <t>Shafts</t>
        </is>
      </c>
      <c r="B4" s="2" t="n">
        <v>2110400</v>
      </c>
      <c r="C4" s="2" t="n">
        <v>1854800</v>
      </c>
      <c r="D4" s="2" t="n">
        <v>1660300</v>
      </c>
      <c r="E4" s="2" t="n">
        <v>5625500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4" customWidth="1" min="4" max="4"/>
    <col width="21" customWidth="1" min="5" max="5"/>
    <col width="20" customWidth="1" min="6" max="6"/>
    <col width="22" customWidth="1" min="7" max="7"/>
    <col width="14" customWidth="1" min="8" max="8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Revenue_Share_%</t>
        </is>
      </c>
      <c r="D1" s="1" t="inlineStr">
        <is>
          <t>Gross_Margin</t>
        </is>
      </c>
      <c r="E1" s="1" t="inlineStr">
        <is>
          <t>Margin_%</t>
        </is>
      </c>
      <c r="F1" s="1" t="inlineStr">
        <is>
          <t>Sales_Conversion_%</t>
        </is>
      </c>
      <c r="G1" s="1" t="inlineStr">
        <is>
          <t>Scrap_Rate_%</t>
        </is>
      </c>
      <c r="H1" s="1" t="inlineStr">
        <is>
          <t>Revenue_Rank</t>
        </is>
      </c>
    </row>
    <row r="2">
      <c r="A2" t="inlineStr">
        <is>
          <t>North</t>
        </is>
      </c>
      <c r="B2" s="2" t="n">
        <v>6576000</v>
      </c>
      <c r="C2" s="3" t="n">
        <v>0.3747072599531616</v>
      </c>
      <c r="D2" s="2" t="n">
        <v>1853000</v>
      </c>
      <c r="E2" s="3" t="n">
        <v>0.2817822384428224</v>
      </c>
      <c r="F2" s="3" t="n">
        <v>0.9009021452301161</v>
      </c>
      <c r="G2" s="3" t="n">
        <v>0.02662818676805199</v>
      </c>
      <c r="H2" s="5" t="n">
        <v>1</v>
      </c>
    </row>
    <row r="3">
      <c r="A3" t="inlineStr">
        <is>
          <t>South</t>
        </is>
      </c>
      <c r="B3" s="2" t="n">
        <v>5686700</v>
      </c>
      <c r="C3" s="3" t="n">
        <v>0.324034029071722</v>
      </c>
      <c r="D3" s="2" t="n">
        <v>1547200</v>
      </c>
      <c r="E3" s="3" t="n">
        <v>0.2720734345050733</v>
      </c>
      <c r="F3" s="3" t="n">
        <v>0.8928521460022222</v>
      </c>
      <c r="G3" s="3" t="n">
        <v>0.02659972840623843</v>
      </c>
      <c r="H3" s="5" t="n">
        <v>2</v>
      </c>
    </row>
    <row r="4">
      <c r="A4" t="inlineStr">
        <is>
          <t>West</t>
        </is>
      </c>
      <c r="B4" s="2" t="n">
        <v>5287000</v>
      </c>
      <c r="C4" s="3" t="n">
        <v>0.3012587109751164</v>
      </c>
      <c r="D4" s="2" t="n">
        <v>1385200</v>
      </c>
      <c r="E4" s="3" t="n">
        <v>0.2620011348590883</v>
      </c>
      <c r="F4" s="3" t="n">
        <v>0.8849495247858495</v>
      </c>
      <c r="G4" s="3" t="n">
        <v>0.02657550431775928</v>
      </c>
      <c r="H4" s="5" t="n">
        <v>3</v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8" customWidth="1" min="4" max="4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Revenue_Share_%</t>
        </is>
      </c>
      <c r="D1" s="1" t="inlineStr">
        <is>
          <t>Cumulative_Revenue_Share_%</t>
        </is>
      </c>
    </row>
    <row r="2">
      <c r="A2" t="inlineStr">
        <is>
          <t>North</t>
        </is>
      </c>
      <c r="B2" s="2" t="n">
        <v>6576000</v>
      </c>
      <c r="C2" s="3" t="n">
        <v>0.3747072599531616</v>
      </c>
      <c r="D2" s="3" t="n">
        <v>0.3747072599531616</v>
      </c>
    </row>
    <row r="3">
      <c r="A3" t="inlineStr">
        <is>
          <t>South</t>
        </is>
      </c>
      <c r="B3" s="2" t="n">
        <v>5686700</v>
      </c>
      <c r="C3" s="3" t="n">
        <v>0.324034029071722</v>
      </c>
      <c r="D3" s="3" t="n">
        <v>0.6987412890248836</v>
      </c>
    </row>
    <row r="4">
      <c r="A4" t="inlineStr">
        <is>
          <t>West</t>
        </is>
      </c>
      <c r="B4" s="2" t="n">
        <v>5287000</v>
      </c>
      <c r="C4" s="3" t="n">
        <v>0.3012587109751164</v>
      </c>
      <c r="D4" s="3" t="n">
        <v>1</v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4" customWidth="1" min="3" max="3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How_to_Answer</t>
        </is>
      </c>
    </row>
    <row r="2">
      <c r="A2" t="inlineStr">
        <is>
          <t>Q1</t>
        </is>
      </c>
      <c r="B2" t="inlineStr">
        <is>
          <t>Which region has the highest total revenue?</t>
        </is>
      </c>
      <c r="C2" t="inlineStr">
        <is>
          <t>Use Region_Ranking.</t>
        </is>
      </c>
    </row>
    <row r="3">
      <c r="A3" t="inlineStr">
        <is>
          <t>Q2</t>
        </is>
      </c>
      <c r="B3" t="inlineStr">
        <is>
          <t>What percentage of total revenue comes from each region?</t>
        </is>
      </c>
      <c r="C3" t="inlineStr">
        <is>
          <t>Use Revenue_Share.</t>
        </is>
      </c>
    </row>
    <row r="4">
      <c r="A4" t="inlineStr">
        <is>
          <t>Q3</t>
        </is>
      </c>
      <c r="B4" t="inlineStr">
        <is>
          <t>Which region has the highest gross margin?</t>
        </is>
      </c>
      <c r="C4" t="inlineStr">
        <is>
          <t>Compare Gross_Margin in Region_Revenue.</t>
        </is>
      </c>
    </row>
    <row r="5">
      <c r="A5" t="inlineStr">
        <is>
          <t>Q4</t>
        </is>
      </c>
      <c r="B5" t="inlineStr">
        <is>
          <t>How does monthly revenue differ across regions?</t>
        </is>
      </c>
      <c r="C5" t="inlineStr">
        <is>
          <t>Use Monthly_Region_Revenue.</t>
        </is>
      </c>
    </row>
    <row r="6">
      <c r="A6" t="inlineStr">
        <is>
          <t>Q5</t>
        </is>
      </c>
      <c r="B6" t="inlineStr">
        <is>
          <t>Which product-region combination has the highest revenue?</t>
        </is>
      </c>
      <c r="C6" t="inlineStr">
        <is>
          <t>Use Product_Region_Revenue.</t>
        </is>
      </c>
    </row>
    <row r="7">
      <c r="A7" t="inlineStr">
        <is>
          <t>Q6</t>
        </is>
      </c>
      <c r="B7" t="inlineStr">
        <is>
          <t>Which region has the highest sales conversion?</t>
        </is>
      </c>
      <c r="C7" t="inlineStr">
        <is>
          <t>Compare Sales_Conversion_%.</t>
        </is>
      </c>
    </row>
    <row r="8">
      <c r="A8" t="inlineStr">
        <is>
          <t>Q7</t>
        </is>
      </c>
      <c r="B8" t="inlineStr">
        <is>
          <t>Which region has the highest scrap rate?</t>
        </is>
      </c>
      <c r="C8" t="inlineStr">
        <is>
          <t>Compare Scrap_Rate_%.</t>
        </is>
      </c>
    </row>
    <row r="9">
      <c r="A9" t="inlineStr">
        <is>
          <t>Q8</t>
        </is>
      </c>
      <c r="B9" t="inlineStr">
        <is>
          <t>Does the highest-revenue region also have the highest margin percentage?</t>
        </is>
      </c>
      <c r="C9" t="inlineStr">
        <is>
          <t>Compare Revenue and Margin_%.</t>
        </is>
      </c>
    </row>
    <row r="10">
      <c r="A10" t="inlineStr">
        <is>
          <t>Q9</t>
        </is>
      </c>
      <c r="B10" t="inlineStr">
        <is>
          <t>What operational metric should be investigated alongside revenue?</t>
        </is>
      </c>
      <c r="C10" t="inlineStr">
        <is>
          <t>Consider conversion, scrap rate and inventory.</t>
        </is>
      </c>
    </row>
    <row r="11">
      <c r="A11" t="inlineStr">
        <is>
          <t>Q10</t>
        </is>
      </c>
      <c r="B11" t="inlineStr">
        <is>
          <t>Write two evidence-based regional insights.</t>
        </is>
      </c>
      <c r="C11" t="inlineStr">
        <is>
          <t>Cite the relevant workbook sheets.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4" customWidth="1" min="3" max="3"/>
  </cols>
  <sheetData>
    <row r="1">
      <c r="A1" s="1" t="inlineStr">
        <is>
          <t>Insight_Area</t>
        </is>
      </c>
      <c r="B1" s="1" t="inlineStr">
        <is>
          <t>Observation</t>
        </is>
      </c>
      <c r="C1" s="1" t="inlineStr">
        <is>
          <t>Evidence_Sheet</t>
        </is>
      </c>
    </row>
    <row r="2">
      <c r="A2" t="inlineStr">
        <is>
          <t>Revenue concentration</t>
        </is>
      </c>
      <c r="B2" t="inlineStr">
        <is>
          <t>North has the largest total revenue in this illustrative dataset.</t>
        </is>
      </c>
      <c r="C2" t="inlineStr">
        <is>
          <t>Region_Revenue</t>
        </is>
      </c>
    </row>
    <row r="3">
      <c r="A3" t="inlineStr">
        <is>
          <t>Revenue share</t>
        </is>
      </c>
      <c r="B3" t="inlineStr">
        <is>
          <t>North contributes 37.5% of total revenue.</t>
        </is>
      </c>
      <c r="C3" t="inlineStr">
        <is>
          <t>Revenue_Share</t>
        </is>
      </c>
    </row>
    <row r="4">
      <c r="A4" t="inlineStr">
        <is>
          <t>Regional comparison</t>
        </is>
      </c>
      <c r="B4" t="inlineStr">
        <is>
          <t>West has the smallest total revenue among the three regions.</t>
        </is>
      </c>
      <c r="C4" t="inlineStr">
        <is>
          <t>Region_Ranking</t>
        </is>
      </c>
    </row>
    <row r="5">
      <c r="A5" t="inlineStr">
        <is>
          <t>Product-region view</t>
        </is>
      </c>
      <c r="B5" t="inlineStr">
        <is>
          <t>Product_Region_Revenue shows how each product contributes within each region.</t>
        </is>
      </c>
      <c r="C5" t="inlineStr">
        <is>
          <t>Product_Region_Revenue</t>
        </is>
      </c>
    </row>
    <row r="6">
      <c r="A6" t="inlineStr">
        <is>
          <t>Operational context</t>
        </is>
      </c>
      <c r="B6" t="inlineStr">
        <is>
          <t>Revenue should be reviewed with conversion, scrap rate and inventory measures.</t>
        </is>
      </c>
      <c r="C6" t="inlineStr">
        <is>
          <t>Region_Revenue</t>
        </is>
      </c>
    </row>
    <row r="7">
      <c r="A7" t="inlineStr">
        <is>
          <t>Presentation rule</t>
        </is>
      </c>
      <c r="B7" t="inlineStr">
        <is>
          <t>Use rankings and shares to explain regional concentration before discussing actions.</t>
        </is>
      </c>
      <c r="C7" t="inlineStr">
        <is>
          <t>Region_Ranking</t>
        </is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8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Format</t>
        </is>
      </c>
    </row>
    <row r="2">
      <c r="A2" t="inlineStr">
        <is>
          <t>Record_ID</t>
        </is>
      </c>
      <c r="B2" t="inlineStr">
        <is>
          <t>Unique record identifier</t>
        </is>
      </c>
      <c r="C2" t="inlineStr">
        <is>
          <t>Text</t>
        </is>
      </c>
    </row>
    <row r="3">
      <c r="A3" t="inlineStr">
        <is>
          <t>Month</t>
        </is>
      </c>
      <c r="B3" t="inlineStr">
        <is>
          <t>Month of observation</t>
        </is>
      </c>
      <c r="C3" t="inlineStr">
        <is>
          <t>YYYY-MM</t>
        </is>
      </c>
    </row>
    <row r="4">
      <c r="A4" t="inlineStr">
        <is>
          <t>Product</t>
        </is>
      </c>
      <c r="B4" t="inlineStr">
        <is>
          <t>Product category</t>
        </is>
      </c>
      <c r="C4" t="inlineStr">
        <is>
          <t>Text</t>
        </is>
      </c>
    </row>
    <row r="5">
      <c r="A5" t="inlineStr">
        <is>
          <t>Region</t>
        </is>
      </c>
      <c r="B5" t="inlineStr">
        <is>
          <t>Sales/operating region</t>
        </is>
      </c>
      <c r="C5" t="inlineStr">
        <is>
          <t>North/South/West</t>
        </is>
      </c>
    </row>
    <row r="6">
      <c r="A6" t="inlineStr">
        <is>
          <t>Customer_Type</t>
        </is>
      </c>
      <c r="B6" t="inlineStr">
        <is>
          <t>Customer classification</t>
        </is>
      </c>
      <c r="C6" t="inlineStr">
        <is>
          <t>OEM/Distributor</t>
        </is>
      </c>
    </row>
    <row r="7">
      <c r="A7" t="inlineStr">
        <is>
          <t>Production_Units</t>
        </is>
      </c>
      <c r="B7" t="inlineStr">
        <is>
          <t>Units produced</t>
        </is>
      </c>
      <c r="C7" t="inlineStr">
        <is>
          <t>Count</t>
        </is>
      </c>
    </row>
    <row r="8">
      <c r="A8" t="inlineStr">
        <is>
          <t>Sales_Units</t>
        </is>
      </c>
      <c r="B8" t="inlineStr">
        <is>
          <t>Units sold</t>
        </is>
      </c>
      <c r="C8" t="inlineStr">
        <is>
          <t>Count</t>
        </is>
      </c>
    </row>
    <row r="9">
      <c r="A9" t="inlineStr">
        <is>
          <t>Scrap_Units</t>
        </is>
      </c>
      <c r="B9" t="inlineStr">
        <is>
          <t>Units treated as scrap</t>
        </is>
      </c>
      <c r="C9" t="inlineStr">
        <is>
          <t>Count</t>
        </is>
      </c>
    </row>
    <row r="10">
      <c r="A10" t="inlineStr">
        <is>
          <t>Closing_Inventory</t>
        </is>
      </c>
      <c r="B10" t="inlineStr">
        <is>
          <t>Inventory at period end</t>
        </is>
      </c>
      <c r="C10" t="inlineStr">
        <is>
          <t>Units</t>
        </is>
      </c>
    </row>
    <row r="11">
      <c r="A11" t="inlineStr">
        <is>
          <t>Revenue</t>
        </is>
      </c>
      <c r="B11" t="inlineStr">
        <is>
          <t>Revenue associated with the record</t>
        </is>
      </c>
      <c r="C11" t="inlineStr">
        <is>
          <t>Currency units</t>
        </is>
      </c>
    </row>
    <row r="12">
      <c r="A12" t="inlineStr">
        <is>
          <t>Production_Cost</t>
        </is>
      </c>
      <c r="B12" t="inlineStr">
        <is>
          <t>Production cost</t>
        </is>
      </c>
      <c r="C12" t="inlineStr">
        <is>
          <t>Currency units</t>
        </is>
      </c>
    </row>
    <row r="13">
      <c r="A13" t="inlineStr">
        <is>
          <t>Gross_Margin</t>
        </is>
      </c>
      <c r="B13" t="inlineStr">
        <is>
          <t>Revenue minus production cost</t>
        </is>
      </c>
      <c r="C13" t="inlineStr">
        <is>
          <t>Currency units</t>
        </is>
      </c>
    </row>
    <row r="14">
      <c r="A14" t="inlineStr">
        <is>
          <t>Scrap_Rate</t>
        </is>
      </c>
      <c r="B14" t="inlineStr">
        <is>
          <t>Scrap units divided by production units</t>
        </is>
      </c>
      <c r="C14" t="inlineStr">
        <is>
          <t>Ratio</t>
        </is>
      </c>
    </row>
  </sheetData>
  <autoFilter ref="A1:C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38" customWidth="1" min="3" max="3"/>
  </cols>
  <sheetData>
    <row r="1">
      <c r="A1" s="1" t="inlineStr">
        <is>
          <t>Metric</t>
        </is>
      </c>
      <c r="B1" s="1" t="inlineStr">
        <is>
          <t>Formula / Method</t>
        </is>
      </c>
      <c r="C1" s="1" t="inlineStr">
        <is>
          <t>Purpose</t>
        </is>
      </c>
    </row>
    <row r="2">
      <c r="A2" t="inlineStr">
        <is>
          <t>Regional Revenue</t>
        </is>
      </c>
      <c r="B2" t="inlineStr">
        <is>
          <t>SUMIF(Revenue_Data!Region, region, Revenue_Data!Revenue)</t>
        </is>
      </c>
      <c r="C2" t="inlineStr">
        <is>
          <t>Aggregate revenue by region</t>
        </is>
      </c>
    </row>
    <row r="3">
      <c r="A3" t="inlineStr">
        <is>
          <t>Revenue Share</t>
        </is>
      </c>
      <c r="B3" t="inlineStr">
        <is>
          <t>Regional Revenue / Total Revenue</t>
        </is>
      </c>
      <c r="C3" t="inlineStr">
        <is>
          <t>Measure regional contribution</t>
        </is>
      </c>
    </row>
    <row r="4">
      <c r="A4" t="inlineStr">
        <is>
          <t>Revenue Rank</t>
        </is>
      </c>
      <c r="B4" t="inlineStr">
        <is>
          <t>RANK(Regional Revenue, all regional revenues, 0)</t>
        </is>
      </c>
      <c r="C4" t="inlineStr">
        <is>
          <t>Order regions by revenue</t>
        </is>
      </c>
    </row>
    <row r="5">
      <c r="A5" t="inlineStr">
        <is>
          <t>Gross Margin</t>
        </is>
      </c>
      <c r="B5" t="inlineStr">
        <is>
          <t>SUM(Gross_Margin) by region</t>
        </is>
      </c>
      <c r="C5" t="inlineStr">
        <is>
          <t>Compare value created</t>
        </is>
      </c>
    </row>
    <row r="6">
      <c r="A6" t="inlineStr">
        <is>
          <t>Margin %</t>
        </is>
      </c>
      <c r="B6" t="inlineStr">
        <is>
          <t>Gross Margin / Revenue</t>
        </is>
      </c>
      <c r="C6" t="inlineStr">
        <is>
          <t>Compare profitability rate</t>
        </is>
      </c>
    </row>
    <row r="7">
      <c r="A7" t="inlineStr">
        <is>
          <t>Sales Conversion %</t>
        </is>
      </c>
      <c r="B7" t="inlineStr">
        <is>
          <t>Sales Units / Production Units</t>
        </is>
      </c>
      <c r="C7" t="inlineStr">
        <is>
          <t>Operational context</t>
        </is>
      </c>
    </row>
    <row r="8">
      <c r="A8" t="inlineStr">
        <is>
          <t>Scrap Rate %</t>
        </is>
      </c>
      <c r="B8" t="inlineStr">
        <is>
          <t>Scrap Units / Production Units</t>
        </is>
      </c>
      <c r="C8" t="inlineStr">
        <is>
          <t>Quality/efficiency context</t>
        </is>
      </c>
    </row>
    <row r="9">
      <c r="A9" t="inlineStr">
        <is>
          <t>Monthly Regional Revenue</t>
        </is>
      </c>
      <c r="B9" t="inlineStr">
        <is>
          <t>SUMIFS by Month and Region</t>
        </is>
      </c>
      <c r="C9" t="inlineStr">
        <is>
          <t>Track regional trend</t>
        </is>
      </c>
    </row>
    <row r="10">
      <c r="A10" t="inlineStr">
        <is>
          <t>Product-Region Revenue</t>
        </is>
      </c>
      <c r="B10" t="inlineStr">
        <is>
          <t>SUMIFS by Product and Region</t>
        </is>
      </c>
      <c r="C10" t="inlineStr">
        <is>
          <t>Identify concentration</t>
        </is>
      </c>
    </row>
  </sheetData>
  <autoFilter ref="A1:C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6" t="inlineStr">
        <is>
          <t>Region-wise Revenue Working — Dashboard</t>
        </is>
      </c>
    </row>
    <row r="3">
      <c r="A3" s="7" t="inlineStr">
        <is>
          <t>Purpose</t>
        </is>
      </c>
      <c r="B3" s="8" t="inlineStr">
        <is>
          <t>Compare regional revenue, monthly regional trends, product-region contribution and revenue share.</t>
        </is>
      </c>
    </row>
    <row r="4">
      <c r="A4" s="7" t="inlineStr">
        <is>
          <t>Dataset note</t>
        </is>
      </c>
      <c r="B4" s="8" t="inlineStr">
        <is>
          <t>Illustrative ACE Gears-style practice data; not an official IITM dataset.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Step 1</t>
        </is>
      </c>
      <c r="B2" t="inlineStr">
        <is>
          <t>Open Revenue_Data and understand the fields.</t>
        </is>
      </c>
    </row>
    <row r="3">
      <c r="A3" t="inlineStr">
        <is>
          <t>Step 2</t>
        </is>
      </c>
      <c r="B3" t="inlineStr">
        <is>
          <t>Review Region_Revenue and compare total revenue by region.</t>
        </is>
      </c>
    </row>
    <row r="4">
      <c r="A4" t="inlineStr">
        <is>
          <t>Step 3</t>
        </is>
      </c>
      <c r="B4" t="inlineStr">
        <is>
          <t>Use Revenue_Share to interpret regional contribution.</t>
        </is>
      </c>
    </row>
    <row r="5">
      <c r="A5" t="inlineStr">
        <is>
          <t>Step 4</t>
        </is>
      </c>
      <c r="B5" t="inlineStr">
        <is>
          <t>Use Region_Ranking to read the ranking and operating metrics.</t>
        </is>
      </c>
    </row>
    <row r="6">
      <c r="A6" t="inlineStr">
        <is>
          <t>Step 5</t>
        </is>
      </c>
      <c r="B6" t="inlineStr">
        <is>
          <t>Use Monthly_Region_Revenue to study regional trends.</t>
        </is>
      </c>
    </row>
    <row r="7">
      <c r="A7" t="inlineStr">
        <is>
          <t>Step 6</t>
        </is>
      </c>
      <c r="B7" t="inlineStr">
        <is>
          <t>Use Product_Region_Revenue to compare product-region combinations.</t>
        </is>
      </c>
    </row>
    <row r="8">
      <c r="A8" t="inlineStr">
        <is>
          <t>Step 7</t>
        </is>
      </c>
      <c r="B8" t="inlineStr">
        <is>
          <t>Answer Region_Questions with evidence from the sheets.</t>
        </is>
      </c>
    </row>
    <row r="9">
      <c r="A9" t="inlineStr">
        <is>
          <t>Step 8</t>
        </is>
      </c>
      <c r="B9" t="inlineStr">
        <is>
          <t>Review Business_Insights and then inspect the dashboard.</t>
        </is>
      </c>
    </row>
    <row r="10">
      <c r="A10" t="inlineStr">
        <is>
          <t>Step 9</t>
        </is>
      </c>
      <c r="B10" t="inlineStr">
        <is>
          <t>Write two concise presentation statements supported by numbers.</t>
        </is>
      </c>
    </row>
    <row r="11">
      <c r="A11" t="inlineStr">
        <is>
          <t>Step 10</t>
        </is>
      </c>
      <c r="B11" t="inlineStr">
        <is>
          <t>Do not treat the illustrative dataset as official IITM course data.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2026-09-16T04:14:47Z</dcterms:created>
  <dcterms:modified xmlns:dcterms="http://purl.org/dc/terms/" xmlns:xsi="http://www.w3.org/2001/XMLSchema-instance" xsi:type="dcterms:W3CDTF">2026-09-16T04:14:47Z</dcterms:modified>
</cp:coreProperties>
</file>