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ata" sheetId="1" state="visible" r:id="rId1"/>
    <sheet xmlns:r="http://schemas.openxmlformats.org/officeDocument/2006/relationships" name="Market_Assumptions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Loan_Analysis" sheetId="4" state="visible" r:id="rId4"/>
    <sheet xmlns:r="http://schemas.openxmlformats.org/officeDocument/2006/relationships" name="Practice" sheetId="5" state="visible" r:id="rId5"/>
    <sheet xmlns:r="http://schemas.openxmlformats.org/officeDocument/2006/relationships" name="Insights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8" customWidth="1" min="4" max="4"/>
    <col width="17" customWidth="1" min="5" max="5"/>
    <col width="15" customWidth="1" min="6" max="6"/>
    <col width="22" customWidth="1" min="7" max="7"/>
    <col width="13" customWidth="1" min="8" max="8"/>
    <col width="15" customWidth="1" min="9" max="9"/>
  </cols>
  <sheetData>
    <row r="1">
      <c r="A1" s="1" t="inlineStr">
        <is>
          <t>Respondent_ID</t>
        </is>
      </c>
      <c r="B1" s="1" t="inlineStr">
        <is>
          <t>Region</t>
        </is>
      </c>
      <c r="C1" s="1" t="inlineStr">
        <is>
          <t>Age_Group</t>
        </is>
      </c>
      <c r="D1" s="1" t="inlineStr">
        <is>
          <t>Owns_Two_Wheeler</t>
        </is>
      </c>
      <c r="E1" s="1" t="inlineStr">
        <is>
          <t>Planning_to_Buy</t>
        </is>
      </c>
      <c r="F1" s="1" t="inlineStr">
        <is>
          <t>Loan_Interest</t>
        </is>
      </c>
      <c r="G1" s="1" t="inlineStr">
        <is>
          <t>Estimated_Bike_Price</t>
        </is>
      </c>
      <c r="H1" s="1" t="inlineStr">
        <is>
          <t>Loan_Amount</t>
        </is>
      </c>
      <c r="I1" s="1" t="inlineStr">
        <is>
          <t>Annual_Income</t>
        </is>
      </c>
    </row>
    <row r="2">
      <c r="A2" t="inlineStr">
        <is>
          <t>R01</t>
        </is>
      </c>
      <c r="B2" t="inlineStr">
        <is>
          <t>North</t>
        </is>
      </c>
      <c r="C2" t="inlineStr">
        <is>
          <t>18-25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s="2" t="n">
        <v>90000</v>
      </c>
      <c r="H2" s="2" t="n">
        <v>70000</v>
      </c>
      <c r="I2" s="2" t="n">
        <v>240000</v>
      </c>
    </row>
    <row r="3">
      <c r="A3" t="inlineStr">
        <is>
          <t>R02</t>
        </is>
      </c>
      <c r="B3" t="inlineStr">
        <is>
          <t>North</t>
        </is>
      </c>
      <c r="C3" t="inlineStr">
        <is>
          <t>26-35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s="2" t="n">
        <v>110000</v>
      </c>
      <c r="H3" s="2" t="n">
        <v>0</v>
      </c>
      <c r="I3" s="2" t="n">
        <v>360000</v>
      </c>
    </row>
    <row r="4">
      <c r="A4" t="inlineStr">
        <is>
          <t>R03</t>
        </is>
      </c>
      <c r="B4" t="inlineStr">
        <is>
          <t>North</t>
        </is>
      </c>
      <c r="C4" t="inlineStr">
        <is>
          <t>36-45</t>
        </is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s="2" t="n">
        <v>125000</v>
      </c>
      <c r="H4" s="2" t="n">
        <v>95000</v>
      </c>
      <c r="I4" s="2" t="n">
        <v>420000</v>
      </c>
    </row>
    <row r="5">
      <c r="A5" t="inlineStr">
        <is>
          <t>R04</t>
        </is>
      </c>
      <c r="B5" t="inlineStr">
        <is>
          <t>South</t>
        </is>
      </c>
      <c r="C5" t="inlineStr">
        <is>
          <t>18-25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s="2" t="n">
        <v>85000</v>
      </c>
      <c r="H5" s="2" t="n">
        <v>65000</v>
      </c>
      <c r="I5" s="2" t="n">
        <v>210000</v>
      </c>
    </row>
    <row r="6">
      <c r="A6" t="inlineStr">
        <is>
          <t>R05</t>
        </is>
      </c>
      <c r="B6" t="inlineStr">
        <is>
          <t>South</t>
        </is>
      </c>
      <c r="C6" t="inlineStr">
        <is>
          <t>26-35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s="2" t="n">
        <v>120000</v>
      </c>
      <c r="H6" s="2" t="n">
        <v>0</v>
      </c>
      <c r="I6" s="2" t="n">
        <v>390000</v>
      </c>
    </row>
    <row r="7">
      <c r="A7" t="inlineStr">
        <is>
          <t>R06</t>
        </is>
      </c>
      <c r="B7" t="inlineStr">
        <is>
          <t>South</t>
        </is>
      </c>
      <c r="C7" t="inlineStr">
        <is>
          <t>36-45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s="2" t="n">
        <v>135000</v>
      </c>
      <c r="H7" s="2" t="n">
        <v>100000</v>
      </c>
      <c r="I7" s="2" t="n">
        <v>450000</v>
      </c>
    </row>
    <row r="8">
      <c r="A8" t="inlineStr">
        <is>
          <t>R07</t>
        </is>
      </c>
      <c r="B8" t="inlineStr">
        <is>
          <t>East</t>
        </is>
      </c>
      <c r="C8" t="inlineStr">
        <is>
          <t>18-25</t>
        </is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s="2" t="n">
        <v>80000</v>
      </c>
      <c r="H8" s="2" t="n">
        <v>60000</v>
      </c>
      <c r="I8" s="2" t="n">
        <v>200000</v>
      </c>
    </row>
    <row r="9">
      <c r="A9" t="inlineStr">
        <is>
          <t>R08</t>
        </is>
      </c>
      <c r="B9" t="inlineStr">
        <is>
          <t>East</t>
        </is>
      </c>
      <c r="C9" t="inlineStr">
        <is>
          <t>26-35</t>
        </is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s="2" t="n">
        <v>100000</v>
      </c>
      <c r="H9" s="2" t="n">
        <v>75000</v>
      </c>
      <c r="I9" s="2" t="n">
        <v>300000</v>
      </c>
    </row>
    <row r="10">
      <c r="A10" t="inlineStr">
        <is>
          <t>R09</t>
        </is>
      </c>
      <c r="B10" t="inlineStr">
        <is>
          <t>East</t>
        </is>
      </c>
      <c r="C10" t="inlineStr">
        <is>
          <t>36-45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s="2" t="n">
        <v>130000</v>
      </c>
      <c r="H10" s="2" t="n">
        <v>0</v>
      </c>
      <c r="I10" s="2" t="n">
        <v>410000</v>
      </c>
    </row>
    <row r="11">
      <c r="A11" t="inlineStr">
        <is>
          <t>R10</t>
        </is>
      </c>
      <c r="B11" t="inlineStr">
        <is>
          <t>West</t>
        </is>
      </c>
      <c r="C11" t="inlineStr">
        <is>
          <t>18-25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s="2" t="n">
        <v>95000</v>
      </c>
      <c r="H11" s="2" t="n">
        <v>70000</v>
      </c>
      <c r="I11" s="2" t="n">
        <v>250000</v>
      </c>
    </row>
    <row r="12">
      <c r="A12" t="inlineStr">
        <is>
          <t>R11</t>
        </is>
      </c>
      <c r="B12" t="inlineStr">
        <is>
          <t>West</t>
        </is>
      </c>
      <c r="C12" t="inlineStr">
        <is>
          <t>26-35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s="2" t="n">
        <v>115000</v>
      </c>
      <c r="H12" s="2" t="n">
        <v>0</v>
      </c>
      <c r="I12" s="2" t="n">
        <v>370000</v>
      </c>
    </row>
    <row r="13">
      <c r="A13" t="inlineStr">
        <is>
          <t>R12</t>
        </is>
      </c>
      <c r="B13" t="inlineStr">
        <is>
          <t>West</t>
        </is>
      </c>
      <c r="C13" t="inlineStr">
        <is>
          <t>36-45</t>
        </is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s="2" t="n">
        <v>140000</v>
      </c>
      <c r="H13" s="2" t="n">
        <v>105000</v>
      </c>
      <c r="I13" s="2" t="n">
        <v>480000</v>
      </c>
    </row>
    <row r="14">
      <c r="A14" t="inlineStr">
        <is>
          <t>R13</t>
        </is>
      </c>
      <c r="B14" t="inlineStr">
        <is>
          <t>Central</t>
        </is>
      </c>
      <c r="C14" t="inlineStr">
        <is>
          <t>18-25</t>
        </is>
      </c>
      <c r="D14" t="inlineStr">
        <is>
          <t>No</t>
        </is>
      </c>
      <c r="E14" t="inlineStr">
        <is>
          <t>Yes</t>
        </is>
      </c>
      <c r="F14" t="inlineStr">
        <is>
          <t>Yes</t>
        </is>
      </c>
      <c r="G14" s="2" t="n">
        <v>88000</v>
      </c>
      <c r="H14" s="2" t="n">
        <v>65000</v>
      </c>
      <c r="I14" s="2" t="n">
        <v>220000</v>
      </c>
    </row>
    <row r="15">
      <c r="A15" t="inlineStr">
        <is>
          <t>R14</t>
        </is>
      </c>
      <c r="B15" t="inlineStr">
        <is>
          <t>Central</t>
        </is>
      </c>
      <c r="C15" t="inlineStr">
        <is>
          <t>26-35</t>
        </is>
      </c>
      <c r="D15" t="inlineStr">
        <is>
          <t>No</t>
        </is>
      </c>
      <c r="E15" t="inlineStr">
        <is>
          <t>Yes</t>
        </is>
      </c>
      <c r="F15" t="inlineStr">
        <is>
          <t>Yes</t>
        </is>
      </c>
      <c r="G15" s="2" t="n">
        <v>105000</v>
      </c>
      <c r="H15" s="2" t="n">
        <v>80000</v>
      </c>
      <c r="I15" s="2" t="n">
        <v>320000</v>
      </c>
    </row>
    <row r="16">
      <c r="A16" t="inlineStr">
        <is>
          <t>R15</t>
        </is>
      </c>
      <c r="B16" t="inlineStr">
        <is>
          <t>Central</t>
        </is>
      </c>
      <c r="C16" t="inlineStr">
        <is>
          <t>36-45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s="2" t="n">
        <v>128000</v>
      </c>
      <c r="H16" s="2" t="n">
        <v>0</v>
      </c>
      <c r="I16" s="2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Explanation</t>
        </is>
      </c>
    </row>
    <row r="2">
      <c r="A2" t="inlineStr">
        <is>
          <t>Target_Population</t>
        </is>
      </c>
      <c r="B2" s="3" t="n">
        <v>1000000</v>
      </c>
      <c r="C2" t="inlineStr">
        <is>
          <t>Illustrative target population</t>
        </is>
      </c>
    </row>
    <row r="3">
      <c r="A3" t="inlineStr">
        <is>
          <t>Survey_Sample_Size</t>
        </is>
      </c>
      <c r="B3" s="3" t="n">
        <v>15</v>
      </c>
      <c r="C3" t="inlineStr">
        <is>
          <t>Number of respondents in the sample</t>
        </is>
      </c>
    </row>
    <row r="4">
      <c r="A4" t="inlineStr">
        <is>
          <t>Planning_to_Buy_Count</t>
        </is>
      </c>
      <c r="B4" s="3">
        <f>COUNTIF(Survey_Data!E2:E16,"Yes")</f>
        <v/>
      </c>
      <c r="C4" t="inlineStr">
        <is>
          <t>Sample respondents planning to buy</t>
        </is>
      </c>
    </row>
    <row r="5">
      <c r="A5" t="inlineStr">
        <is>
          <t>Purchase_Rate</t>
        </is>
      </c>
      <c r="B5" s="4">
        <f>B4/B3</f>
        <v/>
      </c>
      <c r="C5" t="inlineStr">
        <is>
          <t>Planning-to-buy rate in sample</t>
        </is>
      </c>
    </row>
    <row r="6">
      <c r="A6" t="inlineStr">
        <is>
          <t>Estimated_Market_Units</t>
        </is>
      </c>
      <c r="B6" s="3">
        <f>B2*B5</f>
        <v/>
      </c>
      <c r="C6" t="inlineStr">
        <is>
          <t>Estimated potential two-wheeler buyers</t>
        </is>
      </c>
    </row>
    <row r="7">
      <c r="A7" t="inlineStr">
        <is>
          <t>Average_Bike_Price</t>
        </is>
      </c>
      <c r="B7" s="3">
        <f>AVERAGE(Survey_Data!G2:G16)</f>
        <v/>
      </c>
      <c r="C7" t="inlineStr">
        <is>
          <t>Average estimated bike price</t>
        </is>
      </c>
    </row>
    <row r="8">
      <c r="A8" t="inlineStr">
        <is>
          <t>Average_Loan_Amount</t>
        </is>
      </c>
      <c r="B8" s="3">
        <f>AVERAGEIF(Survey_Data!F2:F16,"Yes",Survey_Data!H2:H16)</f>
        <v/>
      </c>
      <c r="C8" t="inlineStr">
        <is>
          <t>Average loan among interested respondents</t>
        </is>
      </c>
    </row>
    <row r="9">
      <c r="A9" t="inlineStr">
        <is>
          <t>Estimated_Market_Value</t>
        </is>
      </c>
      <c r="B9" s="3">
        <f>B6*B7</f>
        <v/>
      </c>
      <c r="C9" t="inlineStr">
        <is>
          <t>Potential market value using average bike price</t>
        </is>
      </c>
    </row>
    <row r="10">
      <c r="A10" t="inlineStr">
        <is>
          <t>Estimated_Loan_Market</t>
        </is>
      </c>
      <c r="B10" s="3">
        <f>B6*B8</f>
        <v/>
      </c>
      <c r="C10" t="inlineStr">
        <is>
          <t>Illustrative potential loan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19" customWidth="1" min="4" max="4"/>
    <col width="38" customWidth="1" min="5" max="5"/>
  </cols>
  <sheetData>
    <row r="1">
      <c r="A1" s="1" t="inlineStr">
        <is>
          <t>Region</t>
        </is>
      </c>
      <c r="B1" s="1" t="inlineStr">
        <is>
          <t>Respondents</t>
        </is>
      </c>
      <c r="C1" s="1" t="inlineStr">
        <is>
          <t>Planning_to_Buy</t>
        </is>
      </c>
      <c r="D1" s="1" t="inlineStr">
        <is>
          <t>Buy_Rate</t>
        </is>
      </c>
      <c r="E1" s="1" t="inlineStr">
        <is>
          <t>Avg_Loan_Amount</t>
        </is>
      </c>
    </row>
    <row r="2">
      <c r="A2" t="inlineStr">
        <is>
          <t>North</t>
        </is>
      </c>
      <c r="B2">
        <f>COUNTIF(Survey_Data!B2:B16,A2)</f>
        <v/>
      </c>
      <c r="C2">
        <f>COUNTIFS(Survey_Data!B2:B16,A2,Survey_Data!E2:E16,"Yes")</f>
        <v/>
      </c>
      <c r="D2" s="4">
        <f>IFERROR(C2/B2,0)</f>
        <v/>
      </c>
      <c r="E2" s="3">
        <f>IFERROR(AVERAGEIFS(Survey_Data!H2:H16,Survey_Data!B2:B16,A2,Survey_Data!F2:F16,"Yes"),0)</f>
        <v/>
      </c>
    </row>
    <row r="3">
      <c r="A3" t="inlineStr">
        <is>
          <t>South</t>
        </is>
      </c>
      <c r="B3">
        <f>COUNTIF(Survey_Data!B2:B16,A3)</f>
        <v/>
      </c>
      <c r="C3">
        <f>COUNTIFS(Survey_Data!B2:B16,A3,Survey_Data!E2:E16,"Yes")</f>
        <v/>
      </c>
      <c r="D3" s="4">
        <f>IFERROR(C3/B3,0)</f>
        <v/>
      </c>
      <c r="E3" s="3">
        <f>IFERROR(AVERAGEIFS(Survey_Data!H2:H16,Survey_Data!B2:B16,A3,Survey_Data!F2:F16,"Yes"),0)</f>
        <v/>
      </c>
    </row>
    <row r="4">
      <c r="A4" t="inlineStr">
        <is>
          <t>East</t>
        </is>
      </c>
      <c r="B4">
        <f>COUNTIF(Survey_Data!B2:B16,A4)</f>
        <v/>
      </c>
      <c r="C4">
        <f>COUNTIFS(Survey_Data!B2:B16,A4,Survey_Data!E2:E16,"Yes")</f>
        <v/>
      </c>
      <c r="D4" s="4">
        <f>IFERROR(C4/B4,0)</f>
        <v/>
      </c>
      <c r="E4" s="3">
        <f>IFERROR(AVERAGEIFS(Survey_Data!H2:H16,Survey_Data!B2:B16,A4,Survey_Data!F2:F16,"Yes"),0)</f>
        <v/>
      </c>
    </row>
    <row r="5">
      <c r="A5" t="inlineStr">
        <is>
          <t>West</t>
        </is>
      </c>
      <c r="B5">
        <f>COUNTIF(Survey_Data!B2:B16,A5)</f>
        <v/>
      </c>
      <c r="C5">
        <f>COUNTIFS(Survey_Data!B2:B16,A5,Survey_Data!E2:E16,"Yes")</f>
        <v/>
      </c>
      <c r="D5" s="4">
        <f>IFERROR(C5/B5,0)</f>
        <v/>
      </c>
      <c r="E5" s="3">
        <f>IFERROR(AVERAGEIFS(Survey_Data!H2:H16,Survey_Data!B2:B16,A5,Survey_Data!F2:F16,"Yes"),0)</f>
        <v/>
      </c>
    </row>
    <row r="6">
      <c r="A6" t="inlineStr">
        <is>
          <t>Central</t>
        </is>
      </c>
      <c r="B6">
        <f>COUNTIF(Survey_Data!B2:B16,A6)</f>
        <v/>
      </c>
      <c r="C6">
        <f>COUNTIFS(Survey_Data!B2:B16,A6,Survey_Data!E2:E16,"Yes")</f>
        <v/>
      </c>
      <c r="D6" s="4">
        <f>IFERROR(C6/B6,0)</f>
        <v/>
      </c>
      <c r="E6" s="3">
        <f>IFERROR(AVERAGEIFS(Survey_Data!H2:H16,Survey_Data!B2:B16,A6,Survey_Data!F2:F16,"Yes"),0)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Loan_Interested_Count</t>
        </is>
      </c>
      <c r="B2">
        <f>COUNTIF(Survey_Data!F2:F16,"Yes")</f>
        <v/>
      </c>
    </row>
    <row r="3">
      <c r="A3" t="inlineStr">
        <is>
          <t>Average_Loan_Amount</t>
        </is>
      </c>
      <c r="B3">
        <f>AVERAGEIF(Survey_Data!F2:F16,"Yes",Survey_Data!H2:H16)</f>
        <v/>
      </c>
    </row>
    <row r="4">
      <c r="A4" t="inlineStr">
        <is>
          <t>Minimum_Loan_Amount</t>
        </is>
      </c>
      <c r="B4">
        <f>MIN(Survey_Data!H2:H16)</f>
        <v/>
      </c>
    </row>
    <row r="5">
      <c r="A5" t="inlineStr">
        <is>
          <t>Maximum_Loan_Amount</t>
        </is>
      </c>
      <c r="B5">
        <f>MAX(Survey_Data!H2:H16)</f>
        <v/>
      </c>
    </row>
    <row r="6">
      <c r="A6" t="inlineStr">
        <is>
          <t>Total_Loan_Amount_in_Sample</t>
        </is>
      </c>
      <c r="B6">
        <f>SUM(Survey_Data!H2:H16)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</cols>
  <sheetData>
    <row r="1">
      <c r="A1" s="1" t="inlineStr">
        <is>
          <t>Task_No</t>
        </is>
      </c>
      <c r="B1" s="1" t="inlineStr">
        <is>
          <t>Practice_Task</t>
        </is>
      </c>
      <c r="C1" s="1" t="inlineStr">
        <is>
          <t>Expected_Output</t>
        </is>
      </c>
    </row>
    <row r="2">
      <c r="A2" t="n">
        <v>1</v>
      </c>
      <c r="B2" t="inlineStr">
        <is>
          <t>Calculate the number of respondents planning to buy a two-wheeler.</t>
        </is>
      </c>
      <c r="C2" t="inlineStr">
        <is>
          <t>Count</t>
        </is>
      </c>
    </row>
    <row r="3">
      <c r="A3" t="n">
        <v>2</v>
      </c>
      <c r="B3" t="inlineStr">
        <is>
          <t>Calculate the sample purchase rate.</t>
        </is>
      </c>
      <c r="C3" t="inlineStr">
        <is>
          <t>Percentage</t>
        </is>
      </c>
    </row>
    <row r="4">
      <c r="A4" t="n">
        <v>3</v>
      </c>
      <c r="B4" t="inlineStr">
        <is>
          <t>Estimate potential buyers from a target population of 1,000,000.</t>
        </is>
      </c>
      <c r="C4" t="inlineStr">
        <is>
          <t>Estimated units</t>
        </is>
      </c>
    </row>
    <row r="5">
      <c r="A5" t="n">
        <v>4</v>
      </c>
      <c r="B5" t="inlineStr">
        <is>
          <t>Calculate average estimated bike price.</t>
        </is>
      </c>
      <c r="C5" t="inlineStr">
        <is>
          <t>Average</t>
        </is>
      </c>
    </row>
    <row r="6">
      <c r="A6" t="n">
        <v>5</v>
      </c>
      <c r="B6" t="inlineStr">
        <is>
          <t>Estimate potential market value.</t>
        </is>
      </c>
      <c r="C6" t="inlineStr">
        <is>
          <t>Market value</t>
        </is>
      </c>
    </row>
    <row r="7">
      <c r="A7" t="n">
        <v>6</v>
      </c>
      <c r="B7" t="inlineStr">
        <is>
          <t>Compare buy rates across regions.</t>
        </is>
      </c>
      <c r="C7" t="inlineStr">
        <is>
          <t>Regional comparison</t>
        </is>
      </c>
    </row>
    <row r="8">
      <c r="A8" t="n">
        <v>7</v>
      </c>
      <c r="B8" t="inlineStr">
        <is>
          <t>Calculate average loan amount among interested respondents.</t>
        </is>
      </c>
      <c r="C8" t="inlineStr">
        <is>
          <t>Average loan</t>
        </is>
      </c>
    </row>
    <row r="9">
      <c r="A9" t="n">
        <v>8</v>
      </c>
      <c r="B9" t="inlineStr">
        <is>
          <t>Write three business insights from the survey.</t>
        </is>
      </c>
      <c r="C9" t="inlineStr">
        <is>
          <t>3 insights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8" customWidth="1" min="3" max="3"/>
  </cols>
  <sheetData>
    <row r="1">
      <c r="A1" s="1" t="inlineStr">
        <is>
          <t>Insight_Area</t>
        </is>
      </c>
      <c r="B1" s="1" t="inlineStr">
        <is>
          <t>Question</t>
        </is>
      </c>
      <c r="C1" s="1" t="inlineStr">
        <is>
          <t>Your_Observation</t>
        </is>
      </c>
    </row>
    <row r="2">
      <c r="A2" t="inlineStr">
        <is>
          <t>Market Size</t>
        </is>
      </c>
      <c r="B2" t="inlineStr">
        <is>
          <t>What proportion of the sample plans to buy?</t>
        </is>
      </c>
      <c r="C2" t="inlineStr"/>
    </row>
    <row r="3">
      <c r="A3" t="inlineStr">
        <is>
          <t>Regional Demand</t>
        </is>
      </c>
      <c r="B3" t="inlineStr">
        <is>
          <t>Which region has the highest sample buy rate?</t>
        </is>
      </c>
      <c r="C3" t="inlineStr"/>
    </row>
    <row r="4">
      <c r="A4" t="inlineStr">
        <is>
          <t>Loan Demand</t>
        </is>
      </c>
      <c r="B4" t="inlineStr">
        <is>
          <t>What is the average loan amount among interested respondents?</t>
        </is>
      </c>
      <c r="C4" t="inlineStr"/>
    </row>
    <row r="5">
      <c r="A5" t="inlineStr">
        <is>
          <t>Market Value</t>
        </is>
      </c>
      <c r="B5" t="inlineStr">
        <is>
          <t>What does the estimated market value suggest?</t>
        </is>
      </c>
      <c r="C5" t="inlineStr"/>
    </row>
    <row r="6">
      <c r="A6" t="inlineStr">
        <is>
          <t>Business Decision</t>
        </is>
      </c>
      <c r="B6" t="inlineStr">
        <is>
          <t>What could a two-wheeler lender or manufacturer do with these findings?</t>
        </is>
      </c>
      <c r="C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Day</t>
        </is>
      </c>
      <c r="B1" s="1" t="inlineStr">
        <is>
          <t>Day 011</t>
        </is>
      </c>
    </row>
    <row r="2">
      <c r="A2" t="inlineStr">
        <is>
          <t>Lecture</t>
        </is>
      </c>
      <c r="B2" t="inlineStr">
        <is>
          <t>W3_L1 — Estimating Market Size Part 1 — Two-Wheeler Loans &amp; Surveys</t>
        </is>
      </c>
    </row>
    <row r="3">
      <c r="A3" t="inlineStr">
        <is>
          <t>Objective</t>
        </is>
      </c>
      <c r="B3" t="inlineStr">
        <is>
          <t>Use survey results and assumptions to estimate a potential market.</t>
        </is>
      </c>
    </row>
    <row r="4">
      <c r="A4" t="inlineStr">
        <is>
          <t>Step 1</t>
        </is>
      </c>
      <c r="B4" t="inlineStr">
        <is>
          <t>Review Survey_Data.</t>
        </is>
      </c>
    </row>
    <row r="5">
      <c r="A5" t="inlineStr">
        <is>
          <t>Step 2</t>
        </is>
      </c>
      <c r="B5" t="inlineStr">
        <is>
          <t>Calculate planning-to-buy rate.</t>
        </is>
      </c>
    </row>
    <row r="6">
      <c r="A6" t="inlineStr">
        <is>
          <t>Step 3</t>
        </is>
      </c>
      <c r="B6" t="inlineStr">
        <is>
          <t>Apply the rate to the target population.</t>
        </is>
      </c>
    </row>
    <row r="7">
      <c r="A7" t="inlineStr">
        <is>
          <t>Step 4</t>
        </is>
      </c>
      <c r="B7" t="inlineStr">
        <is>
          <t>Estimate market value using average bike price.</t>
        </is>
      </c>
    </row>
    <row r="8">
      <c r="A8" t="inlineStr">
        <is>
          <t>Step 5</t>
        </is>
      </c>
      <c r="B8" t="inlineStr">
        <is>
          <t>Analyse regional and loan patterns.</t>
        </is>
      </c>
    </row>
    <row r="9">
      <c r="A9" t="inlineStr">
        <is>
          <t>Step 6</t>
        </is>
      </c>
      <c r="B9" t="inlineStr">
        <is>
          <t>Write business insights in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2026-09-14T16:19:28Z</dcterms:created>
  <dcterms:modified xmlns:dcterms="http://purl.org/dc/terms/" xmlns:xsi="http://www.w3.org/2001/XMLSchema-instance" xsi:type="dcterms:W3CDTF">2026-09-14T16:19:28Z</dcterms:modified>
</cp:coreProperties>
</file>